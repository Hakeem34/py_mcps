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gif" ContentType="image/gi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chartsheets/sheet1.xml" ContentType="application/vnd.openxmlformats-officedocument.spreadsheetml.chart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src\tools\py_mcps\py_mcps\sample\"/>
    </mc:Choice>
  </mc:AlternateContent>
  <xr:revisionPtr revIDLastSave="0" documentId="13_ncr:1_{A7C75BE1-38A4-4267-825A-2B53C2F42326}" xr6:coauthVersionLast="47" xr6:coauthVersionMax="47" xr10:uidLastSave="{00000000-0000-0000-0000-000000000000}"/>
  <bookViews>
    <workbookView xWindow="-120" yWindow="-120" windowWidth="29040" windowHeight="15720" firstSheet="8" activeTab="20" xr2:uid="{00000000-000D-0000-FFFF-FFFF00000000}"/>
  </bookViews>
  <sheets>
    <sheet name="NoneSheet" sheetId="1" r:id="rId1"/>
    <sheet name="目次" sheetId="8" r:id="rId2"/>
    <sheet name="TopLeft" sheetId="2" r:id="rId3"/>
    <sheet name="テキストシート" sheetId="3" r:id="rId4"/>
    <sheet name="Shapes" sheetId="4" r:id="rId5"/>
    <sheet name="Sequence" sheetId="11" r:id="rId6"/>
    <sheet name="表と式" sheetId="5" r:id="rId7"/>
    <sheet name="シート名にコメントを" sheetId="6" r:id="rId8"/>
    <sheet name="罫線" sheetId="19" r:id="rId9"/>
    <sheet name="グラフのみのシート" sheetId="10" r:id="rId10"/>
    <sheet name="表とグラフ" sheetId="7" r:id="rId11"/>
    <sheet name="一覧表" sheetId="9" r:id="rId12"/>
    <sheet name="リンク" sheetId="12" r:id="rId13"/>
    <sheet name="名前" sheetId="13" r:id="rId14"/>
    <sheet name="オートフィルタ" sheetId="15" r:id="rId15"/>
    <sheet name="テーブル" sheetId="16" r:id="rId16"/>
    <sheet name="マクロ" sheetId="17" r:id="rId17"/>
    <sheet name="グループ化" sheetId="18" r:id="rId18"/>
    <sheet name="画像" sheetId="20" r:id="rId19"/>
    <sheet name="Samples" sheetId="21" r:id="rId20"/>
    <sheet name="縦長" sheetId="22" r:id="rId21"/>
    <sheet name="非表示シート" sheetId="14" state="hidden" r:id="rId22"/>
  </sheets>
  <externalReferences>
    <externalReference r:id="rId23"/>
  </externalReferences>
  <definedNames>
    <definedName name="_C3" comment="コメント" localSheetId="13">名前!$C$3</definedName>
    <definedName name="_xlnm._FilterDatabase" localSheetId="14" hidden="1">オートフィルタ!$B$2:$G$22</definedName>
    <definedName name="_xlnm._FilterDatabase" localSheetId="15" hidden="1">テーブル!$B$2:$F$2</definedName>
    <definedName name="_xlnm.Print_Area" localSheetId="5">Sequence!$A$1:$BD$34</definedName>
    <definedName name="_xlnm.Print_Area" localSheetId="3">テキストシート!$A$1:$L$11</definedName>
    <definedName name="_xlnm.Print_Area" localSheetId="13">名前!$A$1:$H$25</definedName>
    <definedName name="コメントという名前を定義" comment="コメントにコメントしてみる">"コメント"</definedName>
    <definedName name="現在日付" comment="現在の日付を返します">TODAY()</definedName>
    <definedName name="名前シートのA1です">名前!$A$1</definedName>
    <definedName name="名前シートのB2です">名前!$B$2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206" i="22" l="1"/>
  <c r="E205" i="22"/>
  <c r="E204" i="22"/>
  <c r="E203" i="22"/>
  <c r="E202" i="22"/>
  <c r="E201" i="22"/>
  <c r="E200" i="22"/>
  <c r="E199" i="22"/>
  <c r="E198" i="22"/>
  <c r="E197" i="22"/>
  <c r="E196" i="22"/>
  <c r="E195" i="22"/>
  <c r="E194" i="22"/>
  <c r="E193" i="22"/>
  <c r="E192" i="22"/>
  <c r="E191" i="22"/>
  <c r="E190" i="22"/>
  <c r="E189" i="22"/>
  <c r="E188" i="22"/>
  <c r="E187" i="22"/>
  <c r="E186" i="22"/>
  <c r="E185" i="22"/>
  <c r="E184" i="22"/>
  <c r="E183" i="22"/>
  <c r="E182" i="22"/>
  <c r="E181" i="22"/>
  <c r="E180" i="22"/>
  <c r="E179" i="22"/>
  <c r="E178" i="22"/>
  <c r="E177" i="22"/>
  <c r="E176" i="22"/>
  <c r="E175" i="22"/>
  <c r="E174" i="22"/>
  <c r="E173" i="22"/>
  <c r="E172" i="22"/>
  <c r="E171" i="22"/>
  <c r="E170" i="22"/>
  <c r="E169" i="22"/>
  <c r="E168" i="22"/>
  <c r="E167" i="22"/>
  <c r="E166" i="22"/>
  <c r="E165" i="22"/>
  <c r="E164" i="22"/>
  <c r="E163" i="22"/>
  <c r="E162" i="22"/>
  <c r="E161" i="22"/>
  <c r="E160" i="22"/>
  <c r="E159" i="22"/>
  <c r="E158" i="22"/>
  <c r="E157" i="22"/>
  <c r="E156" i="22"/>
  <c r="E155" i="22"/>
  <c r="E154" i="22"/>
  <c r="E153" i="22"/>
  <c r="E152" i="22"/>
  <c r="E151" i="22"/>
  <c r="E150" i="22"/>
  <c r="E149" i="22"/>
  <c r="E148" i="22"/>
  <c r="E147" i="22"/>
  <c r="E146" i="22"/>
  <c r="E145" i="22"/>
  <c r="E144" i="22"/>
  <c r="E143" i="22"/>
  <c r="E142" i="22"/>
  <c r="E141" i="22"/>
  <c r="E140" i="22"/>
  <c r="E139" i="22"/>
  <c r="E138" i="22"/>
  <c r="E137" i="22"/>
  <c r="E136" i="22"/>
  <c r="E135" i="22"/>
  <c r="E134" i="22"/>
  <c r="E133" i="22"/>
  <c r="E132" i="22"/>
  <c r="E131" i="22"/>
  <c r="E130" i="22"/>
  <c r="E129" i="22"/>
  <c r="E128" i="22"/>
  <c r="E127" i="22"/>
  <c r="E126" i="22"/>
  <c r="E125" i="22"/>
  <c r="E124" i="22"/>
  <c r="E123" i="22"/>
  <c r="E122" i="22"/>
  <c r="E121" i="22"/>
  <c r="E120" i="22"/>
  <c r="E119" i="22"/>
  <c r="E118" i="22"/>
  <c r="E117" i="22"/>
  <c r="E116" i="22"/>
  <c r="E115" i="22"/>
  <c r="E114" i="22"/>
  <c r="E113" i="22"/>
  <c r="E112" i="22"/>
  <c r="E111" i="22"/>
  <c r="E110" i="22"/>
  <c r="E109" i="22"/>
  <c r="E108" i="22"/>
  <c r="E107" i="22"/>
  <c r="E106" i="22"/>
  <c r="E105" i="22"/>
  <c r="E104" i="22"/>
  <c r="E103" i="22"/>
  <c r="E102" i="22"/>
  <c r="E101" i="22"/>
  <c r="E100" i="22"/>
  <c r="E99" i="22"/>
  <c r="E98" i="22"/>
  <c r="E97" i="22"/>
  <c r="E96" i="22"/>
  <c r="E95" i="22"/>
  <c r="E94" i="22"/>
  <c r="E93" i="22"/>
  <c r="E92" i="22"/>
  <c r="E91" i="22"/>
  <c r="E90" i="22"/>
  <c r="E89" i="22"/>
  <c r="E88" i="22"/>
  <c r="E87" i="22"/>
  <c r="E86" i="22"/>
  <c r="E85" i="22"/>
  <c r="E84" i="22"/>
  <c r="E83" i="22"/>
  <c r="E82" i="22"/>
  <c r="E81" i="22"/>
  <c r="E80" i="22"/>
  <c r="E79" i="22"/>
  <c r="E78" i="22"/>
  <c r="E77" i="22"/>
  <c r="E76" i="22"/>
  <c r="E75" i="22"/>
  <c r="E74" i="22"/>
  <c r="E73" i="22"/>
  <c r="E72" i="22"/>
  <c r="E71" i="22"/>
  <c r="E70" i="22"/>
  <c r="E69" i="22"/>
  <c r="E68" i="22"/>
  <c r="E67" i="22"/>
  <c r="E66" i="22"/>
  <c r="E65" i="22"/>
  <c r="E64" i="22"/>
  <c r="E63" i="22"/>
  <c r="E62" i="22"/>
  <c r="E61" i="22"/>
  <c r="E60" i="22"/>
  <c r="E59" i="22"/>
  <c r="E58" i="22"/>
  <c r="E57" i="22"/>
  <c r="E56" i="22"/>
  <c r="E55" i="22"/>
  <c r="E54" i="22"/>
  <c r="E53" i="22"/>
  <c r="E52" i="22"/>
  <c r="E51" i="22"/>
  <c r="E50" i="22"/>
  <c r="E49" i="22"/>
  <c r="E48" i="22"/>
  <c r="E47" i="22"/>
  <c r="E46" i="22"/>
  <c r="E45" i="22"/>
  <c r="E44" i="22"/>
  <c r="E43" i="22"/>
  <c r="E42" i="22"/>
  <c r="E41" i="22"/>
  <c r="E40" i="22"/>
  <c r="E39" i="22"/>
  <c r="E38" i="22"/>
  <c r="E37" i="22"/>
  <c r="E36" i="22"/>
  <c r="E35" i="22"/>
  <c r="E34" i="22"/>
  <c r="E33" i="22"/>
  <c r="E32" i="22"/>
  <c r="E31" i="22"/>
  <c r="E30" i="22"/>
  <c r="E29" i="22"/>
  <c r="E28" i="22"/>
  <c r="E27" i="22"/>
  <c r="E26" i="22"/>
  <c r="E25" i="22"/>
  <c r="E24" i="22"/>
  <c r="E23" i="22"/>
  <c r="E22" i="22"/>
  <c r="E21" i="22"/>
  <c r="E20" i="22"/>
  <c r="E19" i="22"/>
  <c r="E18" i="22"/>
  <c r="E17" i="22"/>
  <c r="E16" i="22"/>
  <c r="E15" i="22"/>
  <c r="E14" i="22"/>
  <c r="E13" i="22"/>
  <c r="E12" i="22"/>
  <c r="E11" i="22"/>
  <c r="E10" i="22"/>
  <c r="E9" i="22"/>
  <c r="E8" i="22"/>
  <c r="E7" i="22"/>
  <c r="E6" i="22"/>
  <c r="E5" i="22"/>
  <c r="E4" i="22"/>
  <c r="E3" i="22"/>
  <c r="D206" i="22"/>
  <c r="D205" i="22"/>
  <c r="D204" i="22"/>
  <c r="D203" i="22"/>
  <c r="D202" i="22"/>
  <c r="D201" i="22"/>
  <c r="D200" i="22"/>
  <c r="D199" i="22"/>
  <c r="D198" i="22"/>
  <c r="D197" i="22"/>
  <c r="D196" i="22"/>
  <c r="D195" i="22"/>
  <c r="D194" i="22"/>
  <c r="D193" i="22"/>
  <c r="D192" i="22"/>
  <c r="D191" i="22"/>
  <c r="D190" i="22"/>
  <c r="D189" i="22"/>
  <c r="D188" i="22"/>
  <c r="D187" i="22"/>
  <c r="D186" i="22"/>
  <c r="D185" i="22"/>
  <c r="D184" i="22"/>
  <c r="D183" i="22"/>
  <c r="D182" i="22"/>
  <c r="D181" i="22"/>
  <c r="D180" i="22"/>
  <c r="D179" i="22"/>
  <c r="D178" i="22"/>
  <c r="D177" i="22"/>
  <c r="D176" i="22"/>
  <c r="D175" i="22"/>
  <c r="D174" i="22"/>
  <c r="D173" i="22"/>
  <c r="D172" i="22"/>
  <c r="D171" i="22"/>
  <c r="D170" i="22"/>
  <c r="D169" i="22"/>
  <c r="D168" i="22"/>
  <c r="D167" i="22"/>
  <c r="D166" i="22"/>
  <c r="D165" i="22"/>
  <c r="D164" i="22"/>
  <c r="D163" i="22"/>
  <c r="D162" i="22"/>
  <c r="D161" i="22"/>
  <c r="D160" i="22"/>
  <c r="D159" i="22"/>
  <c r="D158" i="22"/>
  <c r="D157" i="22"/>
  <c r="D156" i="22"/>
  <c r="D155" i="22"/>
  <c r="D154" i="22"/>
  <c r="D153" i="22"/>
  <c r="D152" i="22"/>
  <c r="D151" i="22"/>
  <c r="D150" i="22"/>
  <c r="D149" i="22"/>
  <c r="D148" i="22"/>
  <c r="D147" i="22"/>
  <c r="D146" i="22"/>
  <c r="D145" i="22"/>
  <c r="D144" i="22"/>
  <c r="D143" i="22"/>
  <c r="D142" i="22"/>
  <c r="D141" i="22"/>
  <c r="D140" i="22"/>
  <c r="D139" i="22"/>
  <c r="D138" i="22"/>
  <c r="D137" i="22"/>
  <c r="D136" i="22"/>
  <c r="D135" i="22"/>
  <c r="D134" i="22"/>
  <c r="D133" i="22"/>
  <c r="D132" i="22"/>
  <c r="D131" i="22"/>
  <c r="D130" i="22"/>
  <c r="D129" i="22"/>
  <c r="D128" i="22"/>
  <c r="D127" i="22"/>
  <c r="D126" i="22"/>
  <c r="D125" i="22"/>
  <c r="D124" i="22"/>
  <c r="D123" i="22"/>
  <c r="D122" i="22"/>
  <c r="D121" i="22"/>
  <c r="D120" i="22"/>
  <c r="D119" i="22"/>
  <c r="D118" i="22"/>
  <c r="D117" i="22"/>
  <c r="D116" i="22"/>
  <c r="D115" i="22"/>
  <c r="D114" i="22"/>
  <c r="D113" i="22"/>
  <c r="D112" i="22"/>
  <c r="D111" i="22"/>
  <c r="D110" i="22"/>
  <c r="D109" i="22"/>
  <c r="D108" i="22"/>
  <c r="D107" i="22"/>
  <c r="D106" i="22"/>
  <c r="D105" i="22"/>
  <c r="D104" i="22"/>
  <c r="D103" i="22"/>
  <c r="D102" i="22"/>
  <c r="D101" i="22"/>
  <c r="D100" i="22"/>
  <c r="D99" i="22"/>
  <c r="D98" i="22"/>
  <c r="D97" i="22"/>
  <c r="D96" i="22"/>
  <c r="D95" i="22"/>
  <c r="D94" i="22"/>
  <c r="D93" i="22"/>
  <c r="D92" i="22"/>
  <c r="D91" i="22"/>
  <c r="D90" i="22"/>
  <c r="D89" i="22"/>
  <c r="D88" i="22"/>
  <c r="D87" i="22"/>
  <c r="D86" i="22"/>
  <c r="D85" i="22"/>
  <c r="D84" i="22"/>
  <c r="D83" i="22"/>
  <c r="D82" i="22"/>
  <c r="D81" i="22"/>
  <c r="D80" i="22"/>
  <c r="D79" i="22"/>
  <c r="D78" i="22"/>
  <c r="D77" i="22"/>
  <c r="D76" i="22"/>
  <c r="D75" i="22"/>
  <c r="D74" i="22"/>
  <c r="D73" i="22"/>
  <c r="D72" i="22"/>
  <c r="D71" i="22"/>
  <c r="D70" i="22"/>
  <c r="D69" i="22"/>
  <c r="D68" i="22"/>
  <c r="D67" i="22"/>
  <c r="D66" i="22"/>
  <c r="D65" i="22"/>
  <c r="D64" i="22"/>
  <c r="D63" i="22"/>
  <c r="D62" i="22"/>
  <c r="D61" i="22"/>
  <c r="D60" i="22"/>
  <c r="D59" i="22"/>
  <c r="D58" i="22"/>
  <c r="D57" i="22"/>
  <c r="D56" i="22"/>
  <c r="D55" i="22"/>
  <c r="D54" i="22"/>
  <c r="D53" i="22"/>
  <c r="D52" i="22"/>
  <c r="D51" i="22"/>
  <c r="D50" i="22"/>
  <c r="D49" i="22"/>
  <c r="D48" i="22"/>
  <c r="D47" i="22"/>
  <c r="D46" i="22"/>
  <c r="D45" i="22"/>
  <c r="D44" i="22"/>
  <c r="D43" i="22"/>
  <c r="D42" i="22"/>
  <c r="D41" i="22"/>
  <c r="D40" i="22"/>
  <c r="D39" i="22"/>
  <c r="D38" i="22"/>
  <c r="D37" i="22"/>
  <c r="D36" i="22"/>
  <c r="D35" i="22"/>
  <c r="D34" i="22"/>
  <c r="D33" i="22"/>
  <c r="D32" i="22"/>
  <c r="D31" i="22"/>
  <c r="D30" i="22"/>
  <c r="D29" i="22"/>
  <c r="D28" i="22"/>
  <c r="D27" i="22"/>
  <c r="D26" i="22"/>
  <c r="D25" i="22"/>
  <c r="D24" i="22"/>
  <c r="D23" i="22"/>
  <c r="D22" i="22"/>
  <c r="D21" i="22"/>
  <c r="D20" i="22"/>
  <c r="D19" i="22"/>
  <c r="D18" i="22"/>
  <c r="D17" i="22"/>
  <c r="D16" i="22"/>
  <c r="D15" i="22"/>
  <c r="D14" i="22"/>
  <c r="D13" i="22"/>
  <c r="D12" i="22"/>
  <c r="D11" i="22"/>
  <c r="D10" i="22"/>
  <c r="D9" i="22"/>
  <c r="D8" i="22"/>
  <c r="D7" i="22"/>
  <c r="D6" i="22"/>
  <c r="D5" i="22"/>
  <c r="D4" i="22"/>
  <c r="D3" i="22"/>
  <c r="B206" i="22"/>
  <c r="B205" i="22"/>
  <c r="B204" i="22"/>
  <c r="B203" i="22"/>
  <c r="B202" i="22"/>
  <c r="B201" i="22"/>
  <c r="B200" i="22"/>
  <c r="B199" i="22"/>
  <c r="B198" i="22"/>
  <c r="B197" i="22"/>
  <c r="B196" i="22"/>
  <c r="B195" i="22"/>
  <c r="B194" i="22"/>
  <c r="B193" i="22"/>
  <c r="B192" i="22"/>
  <c r="B191" i="22"/>
  <c r="B190" i="22"/>
  <c r="B189" i="22"/>
  <c r="B188" i="22"/>
  <c r="B187" i="22"/>
  <c r="B186" i="22"/>
  <c r="B185" i="22"/>
  <c r="B184" i="22"/>
  <c r="B183" i="22"/>
  <c r="B182" i="22"/>
  <c r="B181" i="22"/>
  <c r="B180" i="22"/>
  <c r="B179" i="22"/>
  <c r="B178" i="22"/>
  <c r="B177" i="22"/>
  <c r="B176" i="22"/>
  <c r="B175" i="22"/>
  <c r="B174" i="22"/>
  <c r="B173" i="22"/>
  <c r="B172" i="22"/>
  <c r="B171" i="22"/>
  <c r="B170" i="22"/>
  <c r="B169" i="22"/>
  <c r="B168" i="22"/>
  <c r="B167" i="22"/>
  <c r="B166" i="22"/>
  <c r="B165" i="22"/>
  <c r="B164" i="22"/>
  <c r="B163" i="22"/>
  <c r="B162" i="22"/>
  <c r="B161" i="22"/>
  <c r="B160" i="22"/>
  <c r="B159" i="22"/>
  <c r="B158" i="22"/>
  <c r="B157" i="22"/>
  <c r="B156" i="22"/>
  <c r="B155" i="22"/>
  <c r="B154" i="22"/>
  <c r="B153" i="22"/>
  <c r="B152" i="22"/>
  <c r="B151" i="22"/>
  <c r="B150" i="22"/>
  <c r="B149" i="22"/>
  <c r="B148" i="22"/>
  <c r="B147" i="22"/>
  <c r="B146" i="22"/>
  <c r="B145" i="22"/>
  <c r="B144" i="22"/>
  <c r="B143" i="22"/>
  <c r="B142" i="22"/>
  <c r="B141" i="22"/>
  <c r="B140" i="22"/>
  <c r="B139" i="22"/>
  <c r="B138" i="22"/>
  <c r="B137" i="22"/>
  <c r="B136" i="22"/>
  <c r="B135" i="22"/>
  <c r="B134" i="22"/>
  <c r="B133" i="22"/>
  <c r="B132" i="22"/>
  <c r="B131" i="22"/>
  <c r="B130" i="22"/>
  <c r="B129" i="22"/>
  <c r="B128" i="22"/>
  <c r="B127" i="22"/>
  <c r="B126" i="22"/>
  <c r="B125" i="22"/>
  <c r="B124" i="22"/>
  <c r="B123" i="22"/>
  <c r="B122" i="22"/>
  <c r="B121" i="22"/>
  <c r="B120" i="22"/>
  <c r="B119" i="22"/>
  <c r="B118" i="22"/>
  <c r="B117" i="22"/>
  <c r="B116" i="22"/>
  <c r="B115" i="22"/>
  <c r="B114" i="22"/>
  <c r="B113" i="22"/>
  <c r="B112" i="22"/>
  <c r="B111" i="22"/>
  <c r="B110" i="22"/>
  <c r="B109" i="22"/>
  <c r="B108" i="22"/>
  <c r="B107" i="22"/>
  <c r="B106" i="22"/>
  <c r="B105" i="22"/>
  <c r="B104" i="22"/>
  <c r="B103" i="22"/>
  <c r="B102" i="22"/>
  <c r="B101" i="22"/>
  <c r="B100" i="22"/>
  <c r="B99" i="22"/>
  <c r="B98" i="22"/>
  <c r="B97" i="22"/>
  <c r="B96" i="22"/>
  <c r="B95" i="22"/>
  <c r="B94" i="22"/>
  <c r="B93" i="22"/>
  <c r="B92" i="22"/>
  <c r="B91" i="22"/>
  <c r="B90" i="22"/>
  <c r="B89" i="22"/>
  <c r="B88" i="22"/>
  <c r="B87" i="22"/>
  <c r="B86" i="22"/>
  <c r="B85" i="22"/>
  <c r="B84" i="22"/>
  <c r="B83" i="22"/>
  <c r="B82" i="22"/>
  <c r="B81" i="22"/>
  <c r="B80" i="22"/>
  <c r="B79" i="22"/>
  <c r="B78" i="22"/>
  <c r="B77" i="22"/>
  <c r="B76" i="22"/>
  <c r="B75" i="22"/>
  <c r="B74" i="22"/>
  <c r="B73" i="22"/>
  <c r="B72" i="22"/>
  <c r="B71" i="22"/>
  <c r="B70" i="22"/>
  <c r="B69" i="22"/>
  <c r="B68" i="22"/>
  <c r="B67" i="22"/>
  <c r="B66" i="22"/>
  <c r="B65" i="22"/>
  <c r="B64" i="22"/>
  <c r="B63" i="22"/>
  <c r="B62" i="22"/>
  <c r="B61" i="22"/>
  <c r="B60" i="22"/>
  <c r="B59" i="22"/>
  <c r="B58" i="22"/>
  <c r="B57" i="22"/>
  <c r="B56" i="22"/>
  <c r="B55" i="22"/>
  <c r="B54" i="22"/>
  <c r="B53" i="22"/>
  <c r="B52" i="22"/>
  <c r="B51" i="22"/>
  <c r="B50" i="22"/>
  <c r="B49" i="22"/>
  <c r="B48" i="22"/>
  <c r="B47" i="22"/>
  <c r="B46" i="22"/>
  <c r="B45" i="22"/>
  <c r="B44" i="22"/>
  <c r="B43" i="22"/>
  <c r="B42" i="22"/>
  <c r="B41" i="22"/>
  <c r="B40" i="22"/>
  <c r="B39" i="22"/>
  <c r="B38" i="22"/>
  <c r="B37" i="22"/>
  <c r="B36" i="22"/>
  <c r="B35" i="22"/>
  <c r="B34" i="22"/>
  <c r="B33" i="22"/>
  <c r="B32" i="22"/>
  <c r="B31" i="22"/>
  <c r="B30" i="22"/>
  <c r="B29" i="22"/>
  <c r="B28" i="22"/>
  <c r="B27" i="22"/>
  <c r="B26" i="22"/>
  <c r="B25" i="22"/>
  <c r="B24" i="22"/>
  <c r="B23" i="22"/>
  <c r="B22" i="22"/>
  <c r="B21" i="22"/>
  <c r="B20" i="22"/>
  <c r="B19" i="22"/>
  <c r="B18" i="22"/>
  <c r="B17" i="22"/>
  <c r="B16" i="22"/>
  <c r="B15" i="22"/>
  <c r="B14" i="22"/>
  <c r="B13" i="22"/>
  <c r="B12" i="22"/>
  <c r="B11" i="22"/>
  <c r="B10" i="22"/>
  <c r="B9" i="22"/>
  <c r="B8" i="22"/>
  <c r="B7" i="22"/>
  <c r="B6" i="22"/>
  <c r="B5" i="22"/>
  <c r="B4" i="22"/>
  <c r="B3" i="22"/>
  <c r="H14" i="17"/>
  <c r="E9" i="13"/>
  <c r="B4" i="12"/>
  <c r="H19" i="5"/>
  <c r="H18" i="5"/>
  <c r="H17" i="5"/>
  <c r="H16" i="5"/>
  <c r="H15" i="5"/>
  <c r="H14" i="5"/>
  <c r="H13" i="5"/>
  <c r="I21" i="9"/>
  <c r="H21" i="9"/>
  <c r="I20" i="9"/>
  <c r="H20" i="9"/>
  <c r="I19" i="9"/>
  <c r="H19" i="9"/>
  <c r="I18" i="9"/>
  <c r="H18" i="9"/>
  <c r="C15" i="9"/>
  <c r="C14" i="9"/>
  <c r="C13" i="9"/>
  <c r="C12" i="9"/>
  <c r="C11" i="9"/>
  <c r="C10" i="9"/>
  <c r="C9" i="9"/>
  <c r="C8" i="9"/>
  <c r="C7" i="9"/>
  <c r="C6" i="9"/>
  <c r="C5" i="9"/>
  <c r="H6" i="5"/>
  <c r="C13" i="5"/>
  <c r="H5" i="5"/>
  <c r="H4" i="5"/>
  <c r="C6" i="5"/>
  <c r="C5" i="5"/>
  <c r="C4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tkubota</author>
  </authors>
  <commentList>
    <comment ref="D18" authorId="0" shapeId="0" xr:uid="{5AECD92D-3BF7-4D9B-8ED4-5C57E2D348E8}">
      <text>
        <r>
          <rPr>
            <b/>
            <sz val="9"/>
            <color indexed="81"/>
            <rFont val="MS P ゴシック"/>
            <family val="3"/>
            <charset val="128"/>
          </rPr>
          <t>ふぐた：コメント</t>
        </r>
      </text>
    </comment>
    <comment ref="D19" authorId="0" shapeId="0" xr:uid="{96FBC145-4ED2-4428-813C-22ABF3D786A1}">
      <text>
        <r>
          <rPr>
            <b/>
            <sz val="9"/>
            <color indexed="81"/>
            <rFont val="MS P ゴシック"/>
            <family val="3"/>
            <charset val="128"/>
          </rPr>
          <t>あなご：ふぐたくーん</t>
        </r>
      </text>
    </comment>
    <comment ref="D20" authorId="0" shapeId="0" xr:uid="{8258A971-1F60-4A78-A94B-9EA6FD176ED1}">
      <text>
        <r>
          <rPr>
            <b/>
            <sz val="9"/>
            <color indexed="81"/>
            <rFont val="MS P ゴシック"/>
            <family val="3"/>
            <charset val="128"/>
          </rPr>
          <t>はなざわ：
こめんと
コメントです
Comment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tkubota</author>
  </authors>
  <commentList>
    <comment ref="T10" authorId="0" shapeId="0" xr:uid="{F1C1A60E-C76E-49BB-8852-6D5D23F8F37C}">
      <text>
        <r>
          <rPr>
            <b/>
            <sz val="9"/>
            <color indexed="81"/>
            <rFont val="MS P ゴシック"/>
            <family val="3"/>
            <charset val="128"/>
          </rPr>
          <t>コメント１</t>
        </r>
      </text>
    </comment>
    <comment ref="AD11" authorId="0" shapeId="0" xr:uid="{E75CA685-8E52-47DF-A9F5-DF00D5C52832}">
      <text>
        <r>
          <rPr>
            <b/>
            <sz val="9"/>
            <color indexed="81"/>
            <rFont val="MS P ゴシック"/>
            <family val="3"/>
            <charset val="128"/>
          </rPr>
          <t>コメント２</t>
        </r>
      </text>
    </comment>
    <comment ref="AN12" authorId="0" shapeId="0" xr:uid="{FC4705DE-D745-4B35-A165-5F9CFC7FFF34}">
      <text>
        <r>
          <rPr>
            <sz val="9"/>
            <color indexed="81"/>
            <rFont val="MS P ゴシック"/>
            <family val="3"/>
            <charset val="128"/>
          </rPr>
          <t>コメント３</t>
        </r>
      </text>
    </comment>
  </commentList>
</comments>
</file>

<file path=xl/sharedStrings.xml><?xml version="1.0" encoding="utf-8"?>
<sst xmlns="http://schemas.openxmlformats.org/spreadsheetml/2006/main" count="527" uniqueCount="408">
  <si>
    <t>見出し</t>
    <rPh sb="0" eb="2">
      <t>ミダ</t>
    </rPh>
    <phoneticPr fontId="1"/>
  </si>
  <si>
    <t>非表示</t>
    <rPh sb="0" eb="3">
      <t>ヒヒョウジ</t>
    </rPh>
    <phoneticPr fontId="1"/>
  </si>
  <si>
    <t>この行も非表示</t>
    <rPh sb="2" eb="3">
      <t>ギョウ</t>
    </rPh>
    <rPh sb="4" eb="7">
      <t>ヒヒョウジ</t>
    </rPh>
    <phoneticPr fontId="1"/>
  </si>
  <si>
    <t>テキストシート</t>
    <phoneticPr fontId="1"/>
  </si>
  <si>
    <t>目的</t>
    <rPh sb="0" eb="2">
      <t>モクテキ</t>
    </rPh>
    <phoneticPr fontId="1"/>
  </si>
  <si>
    <t>目次</t>
    <rPh sb="0" eb="2">
      <t>モクジ</t>
    </rPh>
    <phoneticPr fontId="1"/>
  </si>
  <si>
    <t>概略</t>
    <rPh sb="0" eb="2">
      <t>ガイリャク</t>
    </rPh>
    <phoneticPr fontId="1"/>
  </si>
  <si>
    <t>コメント</t>
    <phoneticPr fontId="1"/>
  </si>
  <si>
    <t>装飾文字です１</t>
    <rPh sb="0" eb="2">
      <t>ソウショク</t>
    </rPh>
    <rPh sb="2" eb="4">
      <t>モジ</t>
    </rPh>
    <phoneticPr fontId="1"/>
  </si>
  <si>
    <r>
      <rPr>
        <sz val="11"/>
        <color theme="1"/>
        <rFont val="Yu Gothic"/>
        <family val="3"/>
        <charset val="128"/>
        <scheme val="minor"/>
      </rPr>
      <t>装飾</t>
    </r>
    <r>
      <rPr>
        <b/>
        <sz val="11"/>
        <color theme="1"/>
        <rFont val="Yu Gothic"/>
        <family val="3"/>
        <charset val="128"/>
        <scheme val="minor"/>
      </rPr>
      <t>文字</t>
    </r>
    <r>
      <rPr>
        <sz val="11"/>
        <color theme="1"/>
        <rFont val="Yu Gothic"/>
        <family val="3"/>
        <charset val="128"/>
        <scheme val="minor"/>
      </rPr>
      <t>です２</t>
    </r>
    <rPh sb="0" eb="2">
      <t>ソウショク</t>
    </rPh>
    <rPh sb="2" eb="4">
      <t>モジ</t>
    </rPh>
    <phoneticPr fontId="1"/>
  </si>
  <si>
    <r>
      <t>装飾</t>
    </r>
    <r>
      <rPr>
        <i/>
        <sz val="11"/>
        <color theme="1"/>
        <rFont val="Yu Gothic"/>
        <family val="3"/>
        <charset val="128"/>
        <scheme val="minor"/>
      </rPr>
      <t>文字</t>
    </r>
    <r>
      <rPr>
        <sz val="11"/>
        <color theme="1"/>
        <rFont val="Yu Gothic"/>
        <family val="3"/>
        <charset val="128"/>
        <scheme val="minor"/>
      </rPr>
      <t>です３</t>
    </r>
    <rPh sb="0" eb="2">
      <t>ソウショク</t>
    </rPh>
    <rPh sb="2" eb="4">
      <t>モジ</t>
    </rPh>
    <phoneticPr fontId="1"/>
  </si>
  <si>
    <t>色付き文字１</t>
    <rPh sb="0" eb="2">
      <t>イロツ</t>
    </rPh>
    <rPh sb="3" eb="5">
      <t>モジ</t>
    </rPh>
    <phoneticPr fontId="1"/>
  </si>
  <si>
    <r>
      <t>色</t>
    </r>
    <r>
      <rPr>
        <sz val="11"/>
        <color rgb="FFFF0000"/>
        <rFont val="Yu Gothic"/>
        <family val="3"/>
        <charset val="128"/>
        <scheme val="minor"/>
      </rPr>
      <t>付き</t>
    </r>
    <r>
      <rPr>
        <sz val="11"/>
        <color theme="1"/>
        <rFont val="Yu Gothic"/>
        <family val="2"/>
        <scheme val="minor"/>
      </rPr>
      <t>文字２</t>
    </r>
    <rPh sb="0" eb="2">
      <t>イロツ</t>
    </rPh>
    <rPh sb="3" eb="5">
      <t>モジ</t>
    </rPh>
    <phoneticPr fontId="1"/>
  </si>
  <si>
    <r>
      <t>色</t>
    </r>
    <r>
      <rPr>
        <b/>
        <sz val="11"/>
        <color rgb="FFFF0000"/>
        <rFont val="Yu Gothic"/>
        <family val="3"/>
        <charset val="128"/>
        <scheme val="minor"/>
      </rPr>
      <t>付き</t>
    </r>
    <r>
      <rPr>
        <sz val="11"/>
        <color theme="1"/>
        <rFont val="Yu Gothic"/>
        <family val="2"/>
        <scheme val="minor"/>
      </rPr>
      <t>文字３</t>
    </r>
    <rPh sb="0" eb="2">
      <t>イロツ</t>
    </rPh>
    <rPh sb="3" eb="5">
      <t>モジ</t>
    </rPh>
    <phoneticPr fontId="1"/>
  </si>
  <si>
    <r>
      <t>色</t>
    </r>
    <r>
      <rPr>
        <b/>
        <sz val="11"/>
        <color rgb="FFFF0000"/>
        <rFont val="Yu Gothic"/>
        <family val="3"/>
        <charset val="128"/>
        <scheme val="minor"/>
      </rPr>
      <t>付き</t>
    </r>
    <r>
      <rPr>
        <sz val="11"/>
        <color rgb="FFFFC000"/>
        <rFont val="Yu Gothic"/>
        <family val="3"/>
        <charset val="128"/>
        <scheme val="minor"/>
      </rPr>
      <t>文字</t>
    </r>
    <r>
      <rPr>
        <sz val="11"/>
        <color theme="1"/>
        <rFont val="Yu Gothic"/>
        <family val="2"/>
        <scheme val="minor"/>
      </rPr>
      <t>４</t>
    </r>
    <rPh sb="0" eb="2">
      <t>イロツ</t>
    </rPh>
    <rPh sb="3" eb="5">
      <t>モジ</t>
    </rPh>
    <phoneticPr fontId="1"/>
  </si>
  <si>
    <t>No.</t>
    <phoneticPr fontId="1"/>
  </si>
  <si>
    <t>タイトル</t>
    <phoneticPr fontId="1"/>
  </si>
  <si>
    <t>値A</t>
    <rPh sb="0" eb="1">
      <t>アタイ</t>
    </rPh>
    <phoneticPr fontId="1"/>
  </si>
  <si>
    <t>値B</t>
    <rPh sb="0" eb="1">
      <t>アタイ</t>
    </rPh>
    <phoneticPr fontId="1"/>
  </si>
  <si>
    <t>式</t>
    <rPh sb="0" eb="1">
      <t>シキ</t>
    </rPh>
    <phoneticPr fontId="1"/>
  </si>
  <si>
    <t>式の値</t>
    <rPh sb="0" eb="1">
      <t>シキ</t>
    </rPh>
    <rPh sb="2" eb="3">
      <t>アタイ</t>
    </rPh>
    <phoneticPr fontId="1"/>
  </si>
  <si>
    <t>SUM(E4,F4)</t>
    <phoneticPr fontId="1"/>
  </si>
  <si>
    <t>和</t>
    <rPh sb="0" eb="1">
      <t>ワ</t>
    </rPh>
    <phoneticPr fontId="1"/>
  </si>
  <si>
    <t>積</t>
    <rPh sb="0" eb="1">
      <t>セキ</t>
    </rPh>
    <phoneticPr fontId="1"/>
  </si>
  <si>
    <t>E5*F5</t>
    <phoneticPr fontId="1"/>
  </si>
  <si>
    <t>指数</t>
    <rPh sb="0" eb="2">
      <t>シスウ</t>
    </rPh>
    <phoneticPr fontId="1"/>
  </si>
  <si>
    <t>シート名にコメントを入れてみた</t>
    <rPh sb="3" eb="4">
      <t>メイ</t>
    </rPh>
    <rPh sb="10" eb="11">
      <t>イ</t>
    </rPh>
    <phoneticPr fontId="1"/>
  </si>
  <si>
    <t>項目</t>
    <rPh sb="0" eb="2">
      <t>コウモク</t>
    </rPh>
    <phoneticPr fontId="1"/>
  </si>
  <si>
    <t>Aさん</t>
    <phoneticPr fontId="1"/>
  </si>
  <si>
    <t>Bさん</t>
    <phoneticPr fontId="1"/>
  </si>
  <si>
    <t>Cさん</t>
    <phoneticPr fontId="1"/>
  </si>
  <si>
    <t>Dさん</t>
    <phoneticPr fontId="1"/>
  </si>
  <si>
    <t>身長</t>
    <rPh sb="0" eb="2">
      <t>シンチョウ</t>
    </rPh>
    <phoneticPr fontId="1"/>
  </si>
  <si>
    <t>体重</t>
    <rPh sb="0" eb="2">
      <t>タイジュウ</t>
    </rPh>
    <phoneticPr fontId="1"/>
  </si>
  <si>
    <t>年齢</t>
    <rPh sb="0" eb="2">
      <t>ネンレイ</t>
    </rPh>
    <phoneticPr fontId="1"/>
  </si>
  <si>
    <t>コ</t>
    <phoneticPr fontId="1"/>
  </si>
  <si>
    <t>メ</t>
    <phoneticPr fontId="1"/>
  </si>
  <si>
    <t>ン</t>
    <phoneticPr fontId="1"/>
  </si>
  <si>
    <t>ト</t>
    <phoneticPr fontId="1"/>
  </si>
  <si>
    <t>←これは検索できるのか？</t>
    <rPh sb="4" eb="6">
      <t>ケンサク</t>
    </rPh>
    <phoneticPr fontId="1"/>
  </si>
  <si>
    <t>POWER(E6,F6)</t>
    <phoneticPr fontId="1"/>
  </si>
  <si>
    <t>TopLeft!A1</t>
  </si>
  <si>
    <t>テキストシート!A1</t>
  </si>
  <si>
    <t>Shapes!A1</t>
  </si>
  <si>
    <t>表と式!A1</t>
  </si>
  <si>
    <t>シート名にコメントを!A1</t>
  </si>
  <si>
    <t>表とグラフ!A1</t>
  </si>
  <si>
    <t>内容</t>
    <rPh sb="0" eb="2">
      <t>ナイヨウ</t>
    </rPh>
    <phoneticPr fontId="1"/>
  </si>
  <si>
    <t>ステータス</t>
    <phoneticPr fontId="1"/>
  </si>
  <si>
    <t>備考</t>
    <rPh sb="0" eb="2">
      <t>ビコウ</t>
    </rPh>
    <phoneticPr fontId="1"/>
  </si>
  <si>
    <t>ItemA</t>
  </si>
  <si>
    <t>ItemB</t>
  </si>
  <si>
    <t>ItemC</t>
  </si>
  <si>
    <t>OK</t>
  </si>
  <si>
    <t>OK</t>
    <phoneticPr fontId="1"/>
  </si>
  <si>
    <t>NG</t>
  </si>
  <si>
    <t>NG</t>
    <phoneticPr fontId="1"/>
  </si>
  <si>
    <t>TBD</t>
  </si>
  <si>
    <t>TBD</t>
    <phoneticPr fontId="1"/>
  </si>
  <si>
    <t>保留です</t>
    <rPh sb="0" eb="2">
      <t>ホリュウ</t>
    </rPh>
    <phoneticPr fontId="1"/>
  </si>
  <si>
    <t>Pending</t>
    <phoneticPr fontId="1"/>
  </si>
  <si>
    <t>Done</t>
    <phoneticPr fontId="1"/>
  </si>
  <si>
    <t>Complete</t>
    <phoneticPr fontId="1"/>
  </si>
  <si>
    <t>Finish</t>
    <phoneticPr fontId="1"/>
  </si>
  <si>
    <t>retry</t>
    <phoneticPr fontId="1"/>
  </si>
  <si>
    <t>No Good</t>
    <phoneticPr fontId="1"/>
  </si>
  <si>
    <t>かきくけこ</t>
    <phoneticPr fontId="1"/>
  </si>
  <si>
    <t>あいうえお</t>
    <phoneticPr fontId="1"/>
  </si>
  <si>
    <t>さしすせそ</t>
    <phoneticPr fontId="1"/>
  </si>
  <si>
    <t>たちつてと</t>
    <phoneticPr fontId="1"/>
  </si>
  <si>
    <t>なにぬねの</t>
    <phoneticPr fontId="1"/>
  </si>
  <si>
    <t>はひふへほ</t>
    <phoneticPr fontId="1"/>
  </si>
  <si>
    <t>まみむむも</t>
    <phoneticPr fontId="1"/>
  </si>
  <si>
    <t>やゆよ</t>
    <phoneticPr fontId="1"/>
  </si>
  <si>
    <t>らりるれろ</t>
    <phoneticPr fontId="1"/>
  </si>
  <si>
    <t>わをん</t>
    <phoneticPr fontId="1"/>
  </si>
  <si>
    <t>、。</t>
    <phoneticPr fontId="1"/>
  </si>
  <si>
    <t>外部参照</t>
    <rPh sb="0" eb="2">
      <t>ガイブ</t>
    </rPh>
    <rPh sb="2" eb="4">
      <t>サンショウ</t>
    </rPh>
    <phoneticPr fontId="1"/>
  </si>
  <si>
    <t>保留コメント</t>
    <rPh sb="0" eb="2">
      <t>ホリュウ</t>
    </rPh>
    <phoneticPr fontId="1"/>
  </si>
  <si>
    <t>作成</t>
    <rPh sb="0" eb="2">
      <t>サクセイ</t>
    </rPh>
    <phoneticPr fontId="1"/>
  </si>
  <si>
    <t>チェック</t>
    <phoneticPr fontId="1"/>
  </si>
  <si>
    <t>承認</t>
    <rPh sb="0" eb="2">
      <t>ショウニン</t>
    </rPh>
    <phoneticPr fontId="1"/>
  </si>
  <si>
    <t>ふぐた</t>
    <phoneticPr fontId="1"/>
  </si>
  <si>
    <t>あなご</t>
    <phoneticPr fontId="1"/>
  </si>
  <si>
    <t>はなざわ</t>
    <phoneticPr fontId="1"/>
  </si>
  <si>
    <t>サイン欄</t>
    <rPh sb="3" eb="4">
      <t>ラン</t>
    </rPh>
    <phoneticPr fontId="1"/>
  </si>
  <si>
    <t>Module_A</t>
    <phoneticPr fontId="1"/>
  </si>
  <si>
    <t>Module_B</t>
    <phoneticPr fontId="1"/>
  </si>
  <si>
    <t>Module_C</t>
    <phoneticPr fontId="1"/>
  </si>
  <si>
    <t>Module_D</t>
    <phoneticPr fontId="1"/>
  </si>
  <si>
    <t>Module_E</t>
    <phoneticPr fontId="1"/>
  </si>
  <si>
    <t>Function_B()</t>
    <phoneticPr fontId="1"/>
  </si>
  <si>
    <t>Function_C()</t>
    <phoneticPr fontId="1"/>
  </si>
  <si>
    <t>Function_D()</t>
    <phoneticPr fontId="1"/>
  </si>
  <si>
    <t>Function_E()</t>
    <phoneticPr fontId="1"/>
  </si>
  <si>
    <t>コンソメ</t>
    <phoneticPr fontId="1"/>
  </si>
  <si>
    <t>コメソト</t>
    <phoneticPr fontId="1"/>
  </si>
  <si>
    <t>コヌント</t>
    <phoneticPr fontId="1"/>
  </si>
  <si>
    <t>ロメント</t>
    <phoneticPr fontId="1"/>
  </si>
  <si>
    <t>ココメントト</t>
    <phoneticPr fontId="1"/>
  </si>
  <si>
    <t>http://localhost:3000/issues/91</t>
    <phoneticPr fontId="1"/>
  </si>
  <si>
    <t>A1</t>
    <phoneticPr fontId="1"/>
  </si>
  <si>
    <t>B2</t>
    <phoneticPr fontId="1"/>
  </si>
  <si>
    <t>C3</t>
    <phoneticPr fontId="1"/>
  </si>
  <si>
    <t>このシートは非表示なんです。</t>
    <rPh sb="6" eb="9">
      <t>ヒヒョウジ</t>
    </rPh>
    <phoneticPr fontId="1"/>
  </si>
  <si>
    <t>No</t>
    <phoneticPr fontId="1"/>
  </si>
  <si>
    <t>項目C</t>
    <rPh sb="0" eb="2">
      <t>コウモク</t>
    </rPh>
    <phoneticPr fontId="1"/>
  </si>
  <si>
    <t>項目D</t>
    <rPh sb="0" eb="2">
      <t>コウモク</t>
    </rPh>
    <phoneticPr fontId="1"/>
  </si>
  <si>
    <t>項目E</t>
    <rPh sb="0" eb="2">
      <t>コウモク</t>
    </rPh>
    <phoneticPr fontId="1"/>
  </si>
  <si>
    <t>項目F</t>
    <rPh sb="0" eb="2">
      <t>コウモク</t>
    </rPh>
    <phoneticPr fontId="1"/>
  </si>
  <si>
    <t>Clock</t>
    <phoneticPr fontId="1"/>
  </si>
  <si>
    <t>Cycle</t>
    <phoneticPr fontId="1"/>
  </si>
  <si>
    <t>Car</t>
    <phoneticPr fontId="1"/>
  </si>
  <si>
    <t>Carbon</t>
    <phoneticPr fontId="1"/>
  </si>
  <si>
    <t>Catoon</t>
    <phoneticPr fontId="1"/>
  </si>
  <si>
    <t>Deep</t>
    <phoneticPr fontId="1"/>
  </si>
  <si>
    <t>Danger</t>
    <phoneticPr fontId="1"/>
  </si>
  <si>
    <t>Drop</t>
    <phoneticPr fontId="1"/>
  </si>
  <si>
    <t>Draw</t>
    <phoneticPr fontId="1"/>
  </si>
  <si>
    <t>Eye</t>
    <phoneticPr fontId="1"/>
  </si>
  <si>
    <t>Easy</t>
    <phoneticPr fontId="1"/>
  </si>
  <si>
    <t>Enable</t>
    <phoneticPr fontId="1"/>
  </si>
  <si>
    <t>Erase</t>
    <phoneticPr fontId="1"/>
  </si>
  <si>
    <t>Food</t>
    <phoneticPr fontId="1"/>
  </si>
  <si>
    <t>Foot</t>
    <phoneticPr fontId="1"/>
  </si>
  <si>
    <t>Feet</t>
    <phoneticPr fontId="1"/>
  </si>
  <si>
    <t>Front</t>
    <phoneticPr fontId="1"/>
  </si>
  <si>
    <t>Formula</t>
    <phoneticPr fontId="1"/>
  </si>
  <si>
    <t>Fancy</t>
    <phoneticPr fontId="1"/>
  </si>
  <si>
    <t>Fabulous</t>
    <phoneticPr fontId="1"/>
  </si>
  <si>
    <t>Clone</t>
    <phoneticPr fontId="1"/>
  </si>
  <si>
    <t>Domain</t>
    <phoneticPr fontId="1"/>
  </si>
  <si>
    <t>Eat</t>
    <phoneticPr fontId="1"/>
  </si>
  <si>
    <t>Flow</t>
    <phoneticPr fontId="1"/>
  </si>
  <si>
    <t>February</t>
    <phoneticPr fontId="1"/>
  </si>
  <si>
    <t>Eさん</t>
    <phoneticPr fontId="1"/>
  </si>
  <si>
    <t>Fさん</t>
    <phoneticPr fontId="1"/>
  </si>
  <si>
    <t>Gさん</t>
    <phoneticPr fontId="1"/>
  </si>
  <si>
    <t>Hさん</t>
    <phoneticPr fontId="1"/>
  </si>
  <si>
    <t>成人</t>
    <rPh sb="0" eb="2">
      <t>セイジン</t>
    </rPh>
    <phoneticPr fontId="1"/>
  </si>
  <si>
    <t>未成年</t>
    <rPh sb="0" eb="3">
      <t>ミセイネン</t>
    </rPh>
    <phoneticPr fontId="1"/>
  </si>
  <si>
    <t>グループ</t>
    <phoneticPr fontId="1"/>
  </si>
  <si>
    <t>高齢者</t>
    <rPh sb="0" eb="3">
      <t>コウレイシャ</t>
    </rPh>
    <phoneticPr fontId="1"/>
  </si>
  <si>
    <t>Iさん</t>
    <phoneticPr fontId="1"/>
  </si>
  <si>
    <t>Jさん</t>
    <phoneticPr fontId="1"/>
  </si>
  <si>
    <t>Kさん</t>
    <phoneticPr fontId="1"/>
  </si>
  <si>
    <t>Lさん</t>
    <phoneticPr fontId="1"/>
  </si>
  <si>
    <t>Check</t>
    <phoneticPr fontId="1"/>
  </si>
  <si>
    <t>Chrome</t>
    <phoneticPr fontId="1"/>
  </si>
  <si>
    <t>Copper</t>
    <phoneticPr fontId="1"/>
  </si>
  <si>
    <t>Cap</t>
    <phoneticPr fontId="1"/>
  </si>
  <si>
    <t>Clone</t>
    <phoneticPr fontId="1"/>
  </si>
  <si>
    <t>Clock</t>
    <phoneticPr fontId="1"/>
  </si>
  <si>
    <t>項目G</t>
    <rPh sb="0" eb="2">
      <t>コウモク</t>
    </rPh>
    <phoneticPr fontId="1"/>
  </si>
  <si>
    <t>Dodge</t>
    <phoneticPr fontId="1"/>
  </si>
  <si>
    <t>Email</t>
    <phoneticPr fontId="1"/>
  </si>
  <si>
    <t>Error</t>
    <phoneticPr fontId="1"/>
  </si>
  <si>
    <t>Fuel</t>
    <phoneticPr fontId="1"/>
  </si>
  <si>
    <t>サイン</t>
    <phoneticPr fontId="1"/>
  </si>
  <si>
    <t>照査</t>
    <rPh sb="0" eb="2">
      <t>ショウサ</t>
    </rPh>
    <phoneticPr fontId="1"/>
  </si>
  <si>
    <t>tkubota</t>
  </si>
  <si>
    <t>A</t>
    <phoneticPr fontId="1"/>
  </si>
  <si>
    <t>B</t>
    <phoneticPr fontId="1"/>
  </si>
  <si>
    <t>C</t>
    <phoneticPr fontId="1"/>
  </si>
  <si>
    <t>D</t>
    <phoneticPr fontId="1"/>
  </si>
  <si>
    <t>E</t>
    <phoneticPr fontId="1"/>
  </si>
  <si>
    <t>F</t>
    <phoneticPr fontId="1"/>
  </si>
  <si>
    <t>G</t>
    <phoneticPr fontId="1"/>
  </si>
  <si>
    <t>H</t>
    <phoneticPr fontId="1"/>
  </si>
  <si>
    <t>2027</t>
    <phoneticPr fontId="1"/>
  </si>
  <si>
    <t>2026</t>
    <phoneticPr fontId="1"/>
  </si>
  <si>
    <t>2025</t>
    <phoneticPr fontId="1"/>
  </si>
  <si>
    <t>外枠</t>
    <rPh sb="0" eb="2">
      <t>ソトワク</t>
    </rPh>
    <phoneticPr fontId="1"/>
  </si>
  <si>
    <t>太い外枠</t>
    <rPh sb="0" eb="1">
      <t>フト</t>
    </rPh>
    <rPh sb="2" eb="4">
      <t>ソトワク</t>
    </rPh>
    <phoneticPr fontId="1"/>
  </si>
  <si>
    <t>下二重線</t>
    <rPh sb="0" eb="1">
      <t>シタ</t>
    </rPh>
    <rPh sb="1" eb="4">
      <t>ニジュウセン</t>
    </rPh>
    <phoneticPr fontId="1"/>
  </si>
  <si>
    <t>赤い罫線</t>
    <rPh sb="0" eb="1">
      <t>アカ</t>
    </rPh>
    <rPh sb="2" eb="4">
      <t>ケイセン</t>
    </rPh>
    <phoneticPr fontId="1"/>
  </si>
  <si>
    <t>点線1</t>
    <rPh sb="0" eb="2">
      <t>テンセン</t>
    </rPh>
    <phoneticPr fontId="1"/>
  </si>
  <si>
    <t>点線2</t>
    <phoneticPr fontId="1"/>
  </si>
  <si>
    <t>破線1</t>
    <rPh sb="0" eb="2">
      <t>ハセン</t>
    </rPh>
    <phoneticPr fontId="1"/>
  </si>
  <si>
    <t>破線2</t>
    <rPh sb="0" eb="2">
      <t>ハセン</t>
    </rPh>
    <phoneticPr fontId="1"/>
  </si>
  <si>
    <t>破線3</t>
    <phoneticPr fontId="1"/>
  </si>
  <si>
    <t>太い破線1</t>
    <rPh sb="0" eb="1">
      <t>フト</t>
    </rPh>
    <rPh sb="2" eb="4">
      <t>ハセン</t>
    </rPh>
    <phoneticPr fontId="1"/>
  </si>
  <si>
    <t>太い破線2</t>
    <phoneticPr fontId="1"/>
  </si>
  <si>
    <t>太い破線3</t>
    <phoneticPr fontId="1"/>
  </si>
  <si>
    <t>太い破線4</t>
    <phoneticPr fontId="1"/>
  </si>
  <si>
    <t>もっと太い外枠</t>
    <rPh sb="3" eb="4">
      <t>フト</t>
    </rPh>
    <rPh sb="5" eb="7">
      <t>ソトワク</t>
    </rPh>
    <phoneticPr fontId="1"/>
  </si>
  <si>
    <t>左上-右下</t>
    <rPh sb="0" eb="1">
      <t>ヒダリ</t>
    </rPh>
    <rPh sb="1" eb="2">
      <t>ウエ</t>
    </rPh>
    <rPh sb="3" eb="5">
      <t>ミギシタ</t>
    </rPh>
    <phoneticPr fontId="1"/>
  </si>
  <si>
    <t>左下-右上</t>
    <rPh sb="0" eb="2">
      <t>ヒダリシタ</t>
    </rPh>
    <rPh sb="3" eb="5">
      <t>ミギウエ</t>
    </rPh>
    <phoneticPr fontId="1"/>
  </si>
  <si>
    <t>二重対角線</t>
    <rPh sb="0" eb="5">
      <t>ニジュウタイカクセン</t>
    </rPh>
    <phoneticPr fontId="1"/>
  </si>
  <si>
    <t>格子</t>
    <rPh sb="0" eb="2">
      <t>コウシ</t>
    </rPh>
    <phoneticPr fontId="1"/>
  </si>
  <si>
    <t>2x2の外枠</t>
    <rPh sb="4" eb="6">
      <t>ソトワク</t>
    </rPh>
    <phoneticPr fontId="1"/>
  </si>
  <si>
    <t>結合セルの外枠</t>
    <rPh sb="0" eb="2">
      <t>ケツゴウ</t>
    </rPh>
    <rPh sb="5" eb="7">
      <t>ソトワク</t>
    </rPh>
    <phoneticPr fontId="1"/>
  </si>
  <si>
    <t>全部盛り</t>
    <rPh sb="0" eb="2">
      <t>ゼンブ</t>
    </rPh>
    <rPh sb="2" eb="3">
      <t>ザカ</t>
    </rPh>
    <phoneticPr fontId="1"/>
  </si>
  <si>
    <t>結合セルの全部盛り</t>
    <rPh sb="0" eb="2">
      <t>ケツゴウ</t>
    </rPh>
    <rPh sb="5" eb="8">
      <t>ゼンブモ</t>
    </rPh>
    <phoneticPr fontId="1"/>
  </si>
  <si>
    <t>四隅を埋めてみた（真ん中には罫線なし）</t>
    <rPh sb="0" eb="2">
      <t>ヨスミ</t>
    </rPh>
    <rPh sb="3" eb="4">
      <t>ウ</t>
    </rPh>
    <rPh sb="9" eb="10">
      <t>マ</t>
    </rPh>
    <rPh sb="11" eb="12">
      <t>ナカ</t>
    </rPh>
    <rPh sb="14" eb="16">
      <t>ケイセン</t>
    </rPh>
    <phoneticPr fontId="1"/>
  </si>
  <si>
    <t>5セル選択して囲う場合（真ん中にも罫線あり）</t>
    <rPh sb="3" eb="5">
      <t>センタク</t>
    </rPh>
    <rPh sb="7" eb="8">
      <t>カコ</t>
    </rPh>
    <rPh sb="9" eb="11">
      <t>バアイ</t>
    </rPh>
    <rPh sb="12" eb="13">
      <t>マ</t>
    </rPh>
    <rPh sb="14" eb="15">
      <t>ナカ</t>
    </rPh>
    <rPh sb="17" eb="19">
      <t>ケイセン</t>
    </rPh>
    <phoneticPr fontId="1"/>
  </si>
  <si>
    <t>異なるBorderを設定してみた</t>
    <rPh sb="0" eb="1">
      <t>コト</t>
    </rPh>
    <rPh sb="10" eb="12">
      <t>セッテイ</t>
    </rPh>
    <phoneticPr fontId="1"/>
  </si>
  <si>
    <r>
      <t>強調された</t>
    </r>
    <r>
      <rPr>
        <b/>
        <sz val="11"/>
        <color theme="1"/>
        <rFont val="Yu Gothic"/>
        <family val="3"/>
        <charset val="128"/>
        <scheme val="minor"/>
      </rPr>
      <t>履歴</t>
    </r>
    <rPh sb="0" eb="2">
      <t>キョウチョウ</t>
    </rPh>
    <rPh sb="5" eb="7">
      <t>リレキ</t>
    </rPh>
    <phoneticPr fontId="1"/>
  </si>
  <si>
    <r>
      <rPr>
        <strike/>
        <sz val="11"/>
        <color theme="1"/>
        <rFont val="Yu Gothic"/>
        <family val="3"/>
        <charset val="128"/>
        <scheme val="minor"/>
      </rPr>
      <t>これなしで</t>
    </r>
    <r>
      <rPr>
        <sz val="11"/>
        <color theme="1"/>
        <rFont val="Yu Gothic"/>
        <family val="2"/>
        <scheme val="minor"/>
      </rPr>
      <t>課題</t>
    </r>
    <rPh sb="5" eb="7">
      <t>カダイ</t>
    </rPh>
    <phoneticPr fontId="1"/>
  </si>
  <si>
    <t>ハッチング</t>
    <phoneticPr fontId="1"/>
  </si>
  <si>
    <t>グレーアウト</t>
    <phoneticPr fontId="1"/>
  </si>
  <si>
    <t>16進</t>
    <rPh sb="2" eb="3">
      <t>シン</t>
    </rPh>
    <phoneticPr fontId="1"/>
  </si>
  <si>
    <t>0x1234</t>
    <phoneticPr fontId="1"/>
  </si>
  <si>
    <t>0x1235</t>
    <phoneticPr fontId="1"/>
  </si>
  <si>
    <t>0x1236</t>
  </si>
  <si>
    <t>0x1237</t>
  </si>
  <si>
    <t>0x1238</t>
  </si>
  <si>
    <t>0x1239</t>
  </si>
  <si>
    <t>0x1240</t>
  </si>
  <si>
    <t>0x1241</t>
  </si>
  <si>
    <t>0x1242</t>
  </si>
  <si>
    <t>0x1243</t>
  </si>
  <si>
    <t>0x1244</t>
  </si>
  <si>
    <t>0x1245</t>
  </si>
  <si>
    <t>0x1246</t>
  </si>
  <si>
    <t>0x1247</t>
  </si>
  <si>
    <t>0x1248</t>
  </si>
  <si>
    <t>0x1249</t>
  </si>
  <si>
    <t>0x1250</t>
  </si>
  <si>
    <t>0x1251</t>
  </si>
  <si>
    <t>0x1252</t>
  </si>
  <si>
    <t>0x1253</t>
  </si>
  <si>
    <t>0x1254</t>
  </si>
  <si>
    <t>0x1255</t>
  </si>
  <si>
    <t>0x1256</t>
  </si>
  <si>
    <t>0x1257</t>
  </si>
  <si>
    <t>0x1258</t>
  </si>
  <si>
    <t>0x1259</t>
  </si>
  <si>
    <t>0x1260</t>
  </si>
  <si>
    <t>0x1261</t>
  </si>
  <si>
    <t>0x1262</t>
  </si>
  <si>
    <t>0x1263</t>
  </si>
  <si>
    <t>0x1264</t>
  </si>
  <si>
    <t>0x1265</t>
  </si>
  <si>
    <t>0x1266</t>
  </si>
  <si>
    <t>0x1267</t>
  </si>
  <si>
    <t>0x1268</t>
  </si>
  <si>
    <t>0x1269</t>
  </si>
  <si>
    <t>0x1270</t>
  </si>
  <si>
    <t>0x1271</t>
  </si>
  <si>
    <t>0x1272</t>
  </si>
  <si>
    <t>0x1273</t>
  </si>
  <si>
    <t>0x1274</t>
  </si>
  <si>
    <t>0x1275</t>
  </si>
  <si>
    <t>0x1276</t>
  </si>
  <si>
    <t>0x1277</t>
  </si>
  <si>
    <t>0x1278</t>
  </si>
  <si>
    <t>0x1279</t>
  </si>
  <si>
    <t>0x1280</t>
  </si>
  <si>
    <t>0x1281</t>
  </si>
  <si>
    <t>0x1282</t>
  </si>
  <si>
    <t>0x1283</t>
  </si>
  <si>
    <t>0x1284</t>
  </si>
  <si>
    <t>0x1285</t>
  </si>
  <si>
    <t>0x1286</t>
  </si>
  <si>
    <t>0x1287</t>
  </si>
  <si>
    <t>0x1288</t>
  </si>
  <si>
    <t>0x1289</t>
  </si>
  <si>
    <t>0x1290</t>
  </si>
  <si>
    <t>0x1291</t>
  </si>
  <si>
    <t>0x1292</t>
  </si>
  <si>
    <t>0x1293</t>
  </si>
  <si>
    <t>0x1294</t>
  </si>
  <si>
    <t>0x1295</t>
  </si>
  <si>
    <t>0x1296</t>
  </si>
  <si>
    <t>0x1297</t>
  </si>
  <si>
    <t>0x1298</t>
  </si>
  <si>
    <t>0x1299</t>
  </si>
  <si>
    <t>0x1300</t>
  </si>
  <si>
    <t>0x1301</t>
  </si>
  <si>
    <t>0x1302</t>
  </si>
  <si>
    <t>0x1303</t>
  </si>
  <si>
    <t>0x1304</t>
  </si>
  <si>
    <t>0x1305</t>
  </si>
  <si>
    <t>0x1306</t>
  </si>
  <si>
    <t>0x1307</t>
  </si>
  <si>
    <t>0x1308</t>
  </si>
  <si>
    <t>0x1309</t>
  </si>
  <si>
    <t>0x1310</t>
  </si>
  <si>
    <t>0x1311</t>
  </si>
  <si>
    <t>0x1312</t>
  </si>
  <si>
    <t>0x1313</t>
  </si>
  <si>
    <t>0x1314</t>
  </si>
  <si>
    <t>0x1315</t>
  </si>
  <si>
    <t>0x1316</t>
  </si>
  <si>
    <t>0x1317</t>
  </si>
  <si>
    <t>0x1318</t>
  </si>
  <si>
    <t>0x1319</t>
  </si>
  <si>
    <t>0x1320</t>
  </si>
  <si>
    <t>0x1321</t>
  </si>
  <si>
    <t>0x1322</t>
  </si>
  <si>
    <t>0x1323</t>
  </si>
  <si>
    <t>0x1324</t>
  </si>
  <si>
    <t>0x1325</t>
  </si>
  <si>
    <t>0x1326</t>
  </si>
  <si>
    <t>0x1327</t>
  </si>
  <si>
    <t>0x1328</t>
  </si>
  <si>
    <t>0x1329</t>
  </si>
  <si>
    <t>0x1330</t>
  </si>
  <si>
    <t>0x1331</t>
  </si>
  <si>
    <t>0x1332</t>
  </si>
  <si>
    <t>0x1333</t>
  </si>
  <si>
    <t>0x1334</t>
  </si>
  <si>
    <t>0x1335</t>
  </si>
  <si>
    <t>0x1336</t>
  </si>
  <si>
    <t>0x1337</t>
  </si>
  <si>
    <t>0x1338</t>
  </si>
  <si>
    <t>0x1339</t>
  </si>
  <si>
    <t>0x1340</t>
  </si>
  <si>
    <t>0x1341</t>
  </si>
  <si>
    <t>0x1342</t>
  </si>
  <si>
    <t>0x1343</t>
  </si>
  <si>
    <t>0x1344</t>
  </si>
  <si>
    <t>0x1345</t>
  </si>
  <si>
    <t>0x1346</t>
  </si>
  <si>
    <t>0x1347</t>
  </si>
  <si>
    <t>0x1348</t>
  </si>
  <si>
    <t>0x1349</t>
  </si>
  <si>
    <t>0x1350</t>
  </si>
  <si>
    <t>0x1351</t>
  </si>
  <si>
    <t>0x1352</t>
  </si>
  <si>
    <t>0x1353</t>
  </si>
  <si>
    <t>0x1354</t>
  </si>
  <si>
    <t>0x1355</t>
  </si>
  <si>
    <t>0x1356</t>
  </si>
  <si>
    <t>0x1357</t>
  </si>
  <si>
    <t>0x1358</t>
  </si>
  <si>
    <t>0x1359</t>
  </si>
  <si>
    <t>0x1360</t>
  </si>
  <si>
    <t>0x1361</t>
  </si>
  <si>
    <t>0x1362</t>
  </si>
  <si>
    <t>0x1363</t>
  </si>
  <si>
    <t>0x1364</t>
  </si>
  <si>
    <t>0x1365</t>
  </si>
  <si>
    <t>0x1366</t>
  </si>
  <si>
    <t>0x1367</t>
  </si>
  <si>
    <t>0x1368</t>
  </si>
  <si>
    <t>0x1369</t>
  </si>
  <si>
    <t>0x1370</t>
  </si>
  <si>
    <t>0x1371</t>
  </si>
  <si>
    <t>0x1372</t>
  </si>
  <si>
    <t>0x1373</t>
  </si>
  <si>
    <t>0x1374</t>
  </si>
  <si>
    <t>0x1375</t>
  </si>
  <si>
    <t>0x1376</t>
  </si>
  <si>
    <t>0x1377</t>
  </si>
  <si>
    <t>0x1378</t>
  </si>
  <si>
    <t>0x1379</t>
  </si>
  <si>
    <t>0x1380</t>
  </si>
  <si>
    <t>0x1381</t>
  </si>
  <si>
    <t>0x1382</t>
  </si>
  <si>
    <t>0x1383</t>
  </si>
  <si>
    <t>0x1384</t>
  </si>
  <si>
    <t>0x1385</t>
  </si>
  <si>
    <t>0x1386</t>
  </si>
  <si>
    <t>0x1387</t>
  </si>
  <si>
    <t>0x1388</t>
  </si>
  <si>
    <t>0x1389</t>
  </si>
  <si>
    <t>0x1390</t>
  </si>
  <si>
    <t>0x1391</t>
  </si>
  <si>
    <t>0x1392</t>
  </si>
  <si>
    <t>0x1393</t>
  </si>
  <si>
    <t>0x1394</t>
  </si>
  <si>
    <t>0x1395</t>
  </si>
  <si>
    <t>0x1396</t>
  </si>
  <si>
    <t>0x1397</t>
  </si>
  <si>
    <t>0x1398</t>
  </si>
  <si>
    <t>0x1399</t>
  </si>
  <si>
    <t>0x1400</t>
  </si>
  <si>
    <t>0x1401</t>
  </si>
  <si>
    <t>0x1402</t>
  </si>
  <si>
    <t>0x1403</t>
  </si>
  <si>
    <t>0x1404</t>
  </si>
  <si>
    <t>0x1405</t>
  </si>
  <si>
    <t>0x1406</t>
  </si>
  <si>
    <t>0x1407</t>
  </si>
  <si>
    <t>0x1408</t>
  </si>
  <si>
    <t>0x1409</t>
  </si>
  <si>
    <t>0x1410</t>
  </si>
  <si>
    <t>0x1411</t>
  </si>
  <si>
    <t>0x1412</t>
  </si>
  <si>
    <t>0x1413</t>
  </si>
  <si>
    <t>0x1414</t>
  </si>
  <si>
    <t>0x1415</t>
  </si>
  <si>
    <t>0x1416</t>
  </si>
  <si>
    <t>0x1417</t>
  </si>
  <si>
    <t>0x1418</t>
  </si>
  <si>
    <t>0x1419</t>
  </si>
  <si>
    <t>0x1420</t>
  </si>
  <si>
    <t>0x1421</t>
  </si>
  <si>
    <t>0x1422</t>
  </si>
  <si>
    <t>0x1423</t>
  </si>
  <si>
    <t>0x1424</t>
  </si>
  <si>
    <t>0x1425</t>
  </si>
  <si>
    <t>0x1426</t>
  </si>
  <si>
    <t>0x1427</t>
  </si>
  <si>
    <t>0x1428</t>
  </si>
  <si>
    <t>0x1429</t>
  </si>
  <si>
    <t>0x1430</t>
  </si>
  <si>
    <t>0x1431</t>
  </si>
  <si>
    <t>0x1432</t>
  </si>
  <si>
    <t>0x1433</t>
  </si>
  <si>
    <t>0x1434</t>
  </si>
  <si>
    <t>0x1435</t>
  </si>
  <si>
    <t>0x1436</t>
  </si>
  <si>
    <t>0x1437</t>
  </si>
  <si>
    <t>10進</t>
    <rPh sb="2" eb="3">
      <t>シン</t>
    </rPh>
    <phoneticPr fontId="1"/>
  </si>
  <si>
    <t>文字列</t>
    <rPh sb="0" eb="3">
      <t>モジレツ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</si>
</sst>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&quot;歳&quot;"/>
    <numFmt numFmtId="177" formatCode="0&quot;㎝&quot;"/>
    <numFmt numFmtId="178" formatCode="0&quot;㎏&quot;"/>
    <numFmt numFmtId="179" formatCode="0&quot;コ&quot;&quot;メ&quot;&quot;ン&quot;&quot;ト&quot;"/>
  </numFmts>
  <fonts count="1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  <font>
      <b/>
      <sz val="11"/>
      <color theme="1"/>
      <name val="Yu Gothic"/>
      <family val="3"/>
      <charset val="128"/>
      <scheme val="minor"/>
    </font>
    <font>
      <sz val="11"/>
      <color theme="1"/>
      <name val="Yu Gothic"/>
      <family val="3"/>
      <charset val="128"/>
      <scheme val="minor"/>
    </font>
    <font>
      <i/>
      <sz val="11"/>
      <color theme="1"/>
      <name val="Yu Gothic"/>
      <family val="3"/>
      <charset val="128"/>
      <scheme val="minor"/>
    </font>
    <font>
      <sz val="11"/>
      <color rgb="FFFF0000"/>
      <name val="Yu Gothic"/>
      <family val="3"/>
      <charset val="128"/>
      <scheme val="minor"/>
    </font>
    <font>
      <b/>
      <sz val="11"/>
      <color rgb="FFFF0000"/>
      <name val="Yu Gothic"/>
      <family val="3"/>
      <charset val="128"/>
      <scheme val="minor"/>
    </font>
    <font>
      <sz val="11"/>
      <color rgb="FFFFC000"/>
      <name val="Yu Gothic"/>
      <family val="3"/>
      <charset val="128"/>
      <scheme val="minor"/>
    </font>
    <font>
      <u/>
      <sz val="11"/>
      <color theme="10"/>
      <name val="Yu Gothic"/>
      <family val="2"/>
      <scheme val="minor"/>
    </font>
    <font>
      <b/>
      <sz val="9"/>
      <color indexed="81"/>
      <name val="MS P ゴシック"/>
      <family val="3"/>
      <charset val="128"/>
    </font>
    <font>
      <sz val="11"/>
      <color rgb="FFFF0000"/>
      <name val="Yu Gothic"/>
      <family val="2"/>
      <scheme val="minor"/>
    </font>
    <font>
      <sz val="9"/>
      <color indexed="81"/>
      <name val="MS P ゴシック"/>
      <family val="3"/>
      <charset val="128"/>
    </font>
    <font>
      <strike/>
      <sz val="11"/>
      <color theme="1"/>
      <name val="Yu Gothic"/>
      <family val="3"/>
      <charset val="128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499984740745262"/>
        <bgColor indexed="64"/>
      </patternFill>
    </fill>
  </fills>
  <borders count="3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rgb="FFFF0000"/>
      </bottom>
      <diagonal/>
    </border>
    <border>
      <left/>
      <right/>
      <top/>
      <bottom style="hair">
        <color auto="1"/>
      </bottom>
      <diagonal/>
    </border>
    <border>
      <left/>
      <right/>
      <top/>
      <bottom style="dotted">
        <color rgb="FFFF0000"/>
      </bottom>
      <diagonal/>
    </border>
    <border>
      <left/>
      <right/>
      <top/>
      <bottom style="dashDotDot">
        <color auto="1"/>
      </bottom>
      <diagonal/>
    </border>
    <border>
      <left/>
      <right/>
      <top/>
      <bottom style="dashDot">
        <color auto="1"/>
      </bottom>
      <diagonal/>
    </border>
    <border>
      <left/>
      <right/>
      <top/>
      <bottom style="dashed">
        <color auto="1"/>
      </bottom>
      <diagonal/>
    </border>
    <border>
      <left/>
      <right/>
      <top/>
      <bottom style="mediumDashDotDot">
        <color auto="1"/>
      </bottom>
      <diagonal/>
    </border>
    <border>
      <left/>
      <right/>
      <top/>
      <bottom style="slantDashDot">
        <color auto="1"/>
      </bottom>
      <diagonal/>
    </border>
    <border>
      <left/>
      <right/>
      <top/>
      <bottom style="mediumDashDot">
        <color auto="1"/>
      </bottom>
      <diagonal/>
    </border>
    <border>
      <left/>
      <right/>
      <top/>
      <bottom style="mediumDashed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 diagonalDown="1">
      <left/>
      <right/>
      <top/>
      <bottom/>
      <diagonal style="thin">
        <color auto="1"/>
      </diagonal>
    </border>
    <border diagonalUp="1">
      <left/>
      <right/>
      <top/>
      <bottom/>
      <diagonal style="thin">
        <color auto="1"/>
      </diagonal>
    </border>
    <border diagonalUp="1" diagonalDown="1">
      <left/>
      <right/>
      <top/>
      <bottom/>
      <diagonal style="double">
        <color auto="1"/>
      </diagonal>
    </border>
    <border diagonalUp="1" diagonalDown="1"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 style="thin">
        <color auto="1"/>
      </diagonal>
    </border>
    <border diagonalUp="1" diagonalDown="1">
      <left style="thin">
        <color auto="1"/>
      </left>
      <right/>
      <top style="thin">
        <color auto="1"/>
      </top>
      <bottom/>
      <diagonal style="thin">
        <color auto="1"/>
      </diagonal>
    </border>
    <border diagonalUp="1" diagonalDown="1">
      <left/>
      <right style="thin">
        <color auto="1"/>
      </right>
      <top style="thin">
        <color auto="1"/>
      </top>
      <bottom/>
      <diagonal style="thin">
        <color auto="1"/>
      </diagonal>
    </border>
    <border diagonalUp="1" diagonalDown="1">
      <left style="thin">
        <color auto="1"/>
      </left>
      <right/>
      <top/>
      <bottom style="thin">
        <color auto="1"/>
      </bottom>
      <diagonal style="thin">
        <color auto="1"/>
      </diagonal>
    </border>
    <border diagonalUp="1" diagonalDown="1">
      <left/>
      <right style="thin">
        <color auto="1"/>
      </right>
      <top/>
      <bottom style="thin">
        <color auto="1"/>
      </bottom>
      <diagonal style="thin">
        <color auto="1"/>
      </diagonal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83">
    <xf numFmtId="0" fontId="0" fillId="0" borderId="0" xfId="0"/>
    <xf numFmtId="0" fontId="3" fillId="0" borderId="0" xfId="0" applyFont="1"/>
    <xf numFmtId="0" fontId="4" fillId="0" borderId="0" xfId="0" applyFont="1"/>
    <xf numFmtId="0" fontId="6" fillId="0" borderId="0" xfId="0" applyFont="1"/>
    <xf numFmtId="0" fontId="0" fillId="2" borderId="0" xfId="0" applyFill="1"/>
    <xf numFmtId="0" fontId="0" fillId="2" borderId="1" xfId="0" applyFill="1" applyBorder="1"/>
    <xf numFmtId="0" fontId="9" fillId="2" borderId="0" xfId="1" applyFill="1"/>
    <xf numFmtId="14" fontId="0" fillId="2" borderId="1" xfId="0" applyNumberFormat="1" applyFill="1" applyBorder="1"/>
    <xf numFmtId="0" fontId="0" fillId="2" borderId="7" xfId="0" applyFill="1" applyBorder="1"/>
    <xf numFmtId="0" fontId="0" fillId="2" borderId="11" xfId="0" applyFill="1" applyBorder="1"/>
    <xf numFmtId="0" fontId="0" fillId="0" borderId="1" xfId="0" applyBorder="1"/>
    <xf numFmtId="14" fontId="0" fillId="0" borderId="0" xfId="0" applyNumberFormat="1"/>
    <xf numFmtId="0" fontId="0" fillId="2" borderId="2" xfId="0" applyFill="1" applyBorder="1"/>
    <xf numFmtId="0" fontId="0" fillId="2" borderId="4" xfId="0" applyFill="1" applyBorder="1"/>
    <xf numFmtId="0" fontId="0" fillId="2" borderId="5" xfId="0" applyFill="1" applyBorder="1"/>
    <xf numFmtId="0" fontId="0" fillId="2" borderId="10" xfId="0" applyFill="1" applyBorder="1"/>
    <xf numFmtId="0" fontId="0" fillId="2" borderId="12" xfId="0" applyFill="1" applyBorder="1"/>
    <xf numFmtId="0" fontId="0" fillId="2" borderId="8" xfId="0" applyFill="1" applyBorder="1"/>
    <xf numFmtId="0" fontId="0" fillId="2" borderId="13" xfId="0" applyFill="1" applyBorder="1"/>
    <xf numFmtId="0" fontId="0" fillId="3" borderId="1" xfId="0" applyFill="1" applyBorder="1"/>
    <xf numFmtId="0" fontId="0" fillId="4" borderId="1" xfId="0" applyFill="1" applyBorder="1"/>
    <xf numFmtId="0" fontId="0" fillId="3" borderId="4" xfId="0" applyFill="1" applyBorder="1"/>
    <xf numFmtId="0" fontId="0" fillId="3" borderId="2" xfId="0" applyFill="1" applyBorder="1"/>
    <xf numFmtId="14" fontId="0" fillId="0" borderId="1" xfId="0" applyNumberFormat="1" applyBorder="1"/>
    <xf numFmtId="0" fontId="11" fillId="2" borderId="10" xfId="0" applyFont="1" applyFill="1" applyBorder="1"/>
    <xf numFmtId="0" fontId="6" fillId="2" borderId="12" xfId="0" applyFont="1" applyFill="1" applyBorder="1"/>
    <xf numFmtId="0" fontId="6" fillId="2" borderId="8" xfId="0" applyFont="1" applyFill="1" applyBorder="1"/>
    <xf numFmtId="0" fontId="0" fillId="0" borderId="0" xfId="0" applyAlignment="1">
      <alignment horizontal="left" vertical="center"/>
    </xf>
    <xf numFmtId="0" fontId="0" fillId="0" borderId="0" xfId="0" quotePrefix="1" applyAlignment="1">
      <alignment horizontal="left" vertical="center"/>
    </xf>
    <xf numFmtId="0" fontId="0" fillId="3" borderId="0" xfId="0" applyFill="1"/>
    <xf numFmtId="0" fontId="0" fillId="4" borderId="0" xfId="0" applyFill="1"/>
    <xf numFmtId="176" fontId="0" fillId="2" borderId="1" xfId="0" applyNumberFormat="1" applyFill="1" applyBorder="1"/>
    <xf numFmtId="177" fontId="0" fillId="2" borderId="1" xfId="0" applyNumberFormat="1" applyFill="1" applyBorder="1"/>
    <xf numFmtId="178" fontId="0" fillId="2" borderId="1" xfId="0" applyNumberFormat="1" applyFill="1" applyBorder="1"/>
    <xf numFmtId="0" fontId="0" fillId="0" borderId="8" xfId="0" applyBorder="1"/>
    <xf numFmtId="0" fontId="0" fillId="0" borderId="10" xfId="0" applyBorder="1"/>
    <xf numFmtId="179" fontId="0" fillId="0" borderId="0" xfId="0" applyNumberFormat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0" borderId="25" xfId="0" applyBorder="1"/>
    <xf numFmtId="0" fontId="0" fillId="0" borderId="26" xfId="0" applyBorder="1"/>
    <xf numFmtId="0" fontId="0" fillId="0" borderId="27" xfId="0" applyBorder="1"/>
    <xf numFmtId="0" fontId="0" fillId="0" borderId="28" xfId="0" applyBorder="1"/>
    <xf numFmtId="0" fontId="0" fillId="0" borderId="29" xfId="0" applyBorder="1"/>
    <xf numFmtId="0" fontId="0" fillId="0" borderId="5" xfId="0" applyBorder="1"/>
    <xf numFmtId="0" fontId="0" fillId="0" borderId="7" xfId="0" applyBorder="1"/>
    <xf numFmtId="0" fontId="0" fillId="0" borderId="30" xfId="0" applyBorder="1"/>
    <xf numFmtId="0" fontId="0" fillId="5" borderId="0" xfId="0" applyFill="1"/>
    <xf numFmtId="0" fontId="0" fillId="0" borderId="4" xfId="0" applyBorder="1"/>
    <xf numFmtId="0" fontId="0" fillId="0" borderId="2" xfId="0" applyBorder="1"/>
    <xf numFmtId="0" fontId="0" fillId="0" borderId="13" xfId="0" applyBorder="1"/>
    <xf numFmtId="0" fontId="0" fillId="0" borderId="12" xfId="0" applyBorder="1"/>
    <xf numFmtId="0" fontId="0" fillId="2" borderId="1" xfId="0" applyFill="1" applyBorder="1"/>
    <xf numFmtId="0" fontId="0" fillId="0" borderId="1" xfId="0" applyBorder="1"/>
    <xf numFmtId="0" fontId="0" fillId="2" borderId="1" xfId="0" applyFill="1" applyBorder="1" applyAlignment="1">
      <alignment horizontal="center" vertical="top"/>
    </xf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0" fillId="0" borderId="10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0" borderId="34" xfId="0" applyBorder="1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0" borderId="3" xfId="0" applyBorder="1"/>
    <xf numFmtId="0" fontId="0" fillId="0" borderId="4" xfId="0" applyBorder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0" borderId="9" xfId="0" applyBorder="1"/>
    <xf numFmtId="0" fontId="0" fillId="0" borderId="2" xfId="0" applyBorder="1"/>
    <xf numFmtId="0" fontId="0" fillId="6" borderId="0" xfId="0" applyFill="1"/>
  </cellXfs>
  <cellStyles count="2">
    <cellStyle name="ハイパーリンク" xfId="1" builtinId="8"/>
    <cellStyle name="標準" xfId="0" builtinId="0"/>
  </cellStyles>
  <dxfs count="26"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rgb="FFFFFF00"/>
          <bgColor rgb="FF000000"/>
        </patternFill>
      </fill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rgb="FFFF0000"/>
        <name val="Yu Gothic"/>
        <family val="3"/>
        <charset val="128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2.xml"/><Relationship Id="rId18" Type="http://schemas.openxmlformats.org/officeDocument/2006/relationships/worksheet" Target="worksheets/sheet17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0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1.xml"/><Relationship Id="rId17" Type="http://schemas.openxmlformats.org/officeDocument/2006/relationships/worksheet" Target="worksheets/sheet16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5.xml"/><Relationship Id="rId20" Type="http://schemas.openxmlformats.org/officeDocument/2006/relationships/worksheet" Target="worksheets/sheet1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0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4.xml"/><Relationship Id="rId23" Type="http://schemas.openxmlformats.org/officeDocument/2006/relationships/externalLink" Target="externalLinks/externalLink1.xml"/><Relationship Id="rId28" Type="http://schemas.microsoft.com/office/2006/relationships/vbaProject" Target="vbaProject.bin"/><Relationship Id="rId10" Type="http://schemas.openxmlformats.org/officeDocument/2006/relationships/chartsheet" Target="chartsheets/sheet1.xml"/><Relationship Id="rId19" Type="http://schemas.openxmlformats.org/officeDocument/2006/relationships/worksheet" Target="worksheets/sheet18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3.xml"/><Relationship Id="rId22" Type="http://schemas.openxmlformats.org/officeDocument/2006/relationships/worksheet" Target="worksheets/sheet21.xml"/><Relationship Id="rId27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グラフ 専用 シート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表とグラフ!$D$3</c:f>
              <c:strCache>
                <c:ptCount val="1"/>
                <c:pt idx="0">
                  <c:v>年齢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表とグラフ!$C$4:$C$7</c:f>
              <c:strCache>
                <c:ptCount val="4"/>
                <c:pt idx="0">
                  <c:v>Aさん</c:v>
                </c:pt>
                <c:pt idx="1">
                  <c:v>Bさん</c:v>
                </c:pt>
                <c:pt idx="2">
                  <c:v>Cさん</c:v>
                </c:pt>
                <c:pt idx="3">
                  <c:v>Dさん</c:v>
                </c:pt>
              </c:strCache>
            </c:strRef>
          </c:cat>
          <c:val>
            <c:numRef>
              <c:f>表とグラフ!$D$4:$D$7</c:f>
              <c:numCache>
                <c:formatCode>0"歳"</c:formatCode>
                <c:ptCount val="4"/>
                <c:pt idx="0">
                  <c:v>33</c:v>
                </c:pt>
                <c:pt idx="1">
                  <c:v>24</c:v>
                </c:pt>
                <c:pt idx="2">
                  <c:v>45</c:v>
                </c:pt>
                <c:pt idx="3">
                  <c:v>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BE-4C6E-A046-4193A1CD7089}"/>
            </c:ext>
          </c:extLst>
        </c:ser>
        <c:ser>
          <c:idx val="1"/>
          <c:order val="1"/>
          <c:tx>
            <c:strRef>
              <c:f>表とグラフ!$E$3</c:f>
              <c:strCache>
                <c:ptCount val="1"/>
                <c:pt idx="0">
                  <c:v>身長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表とグラフ!$C$4:$C$7</c:f>
              <c:strCache>
                <c:ptCount val="4"/>
                <c:pt idx="0">
                  <c:v>Aさん</c:v>
                </c:pt>
                <c:pt idx="1">
                  <c:v>Bさん</c:v>
                </c:pt>
                <c:pt idx="2">
                  <c:v>Cさん</c:v>
                </c:pt>
                <c:pt idx="3">
                  <c:v>Dさん</c:v>
                </c:pt>
              </c:strCache>
            </c:strRef>
          </c:cat>
          <c:val>
            <c:numRef>
              <c:f>表とグラフ!$E$4:$E$7</c:f>
              <c:numCache>
                <c:formatCode>0"㎝"</c:formatCode>
                <c:ptCount val="4"/>
                <c:pt idx="0">
                  <c:v>178</c:v>
                </c:pt>
                <c:pt idx="1">
                  <c:v>155</c:v>
                </c:pt>
                <c:pt idx="2">
                  <c:v>167</c:v>
                </c:pt>
                <c:pt idx="3">
                  <c:v>160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BBE-4C6E-A046-4193A1CD7089}"/>
            </c:ext>
          </c:extLst>
        </c:ser>
        <c:ser>
          <c:idx val="2"/>
          <c:order val="2"/>
          <c:tx>
            <c:strRef>
              <c:f>表とグラフ!$F$3</c:f>
              <c:strCache>
                <c:ptCount val="1"/>
                <c:pt idx="0">
                  <c:v>体重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表とグラフ!$C$4:$C$7</c:f>
              <c:strCache>
                <c:ptCount val="4"/>
                <c:pt idx="0">
                  <c:v>Aさん</c:v>
                </c:pt>
                <c:pt idx="1">
                  <c:v>Bさん</c:v>
                </c:pt>
                <c:pt idx="2">
                  <c:v>Cさん</c:v>
                </c:pt>
                <c:pt idx="3">
                  <c:v>Dさん</c:v>
                </c:pt>
              </c:strCache>
            </c:strRef>
          </c:cat>
          <c:val>
            <c:numRef>
              <c:f>表とグラフ!$F$4:$F$7</c:f>
              <c:numCache>
                <c:formatCode>0"㎏"</c:formatCode>
                <c:ptCount val="4"/>
                <c:pt idx="0">
                  <c:v>75</c:v>
                </c:pt>
                <c:pt idx="1">
                  <c:v>58</c:v>
                </c:pt>
                <c:pt idx="2">
                  <c:v>55</c:v>
                </c:pt>
                <c:pt idx="3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BBE-4C6E-A046-4193A1CD70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2058112"/>
        <c:axId val="162058592"/>
      </c:barChart>
      <c:catAx>
        <c:axId val="162058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62058592"/>
        <c:crosses val="autoZero"/>
        <c:auto val="1"/>
        <c:lblAlgn val="ctr"/>
        <c:lblOffset val="100"/>
        <c:noMultiLvlLbl val="0"/>
      </c:catAx>
      <c:valAx>
        <c:axId val="162058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&quot;歳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620581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グラフのタイトルにコメント。。。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年齢とコメント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表とグラフ!$C$4:$C$7</c:f>
              <c:strCache>
                <c:ptCount val="4"/>
                <c:pt idx="0">
                  <c:v>Aさん</c:v>
                </c:pt>
                <c:pt idx="1">
                  <c:v>Bさん</c:v>
                </c:pt>
                <c:pt idx="2">
                  <c:v>Cさん</c:v>
                </c:pt>
                <c:pt idx="3">
                  <c:v>Dさん</c:v>
                </c:pt>
              </c:strCache>
            </c:strRef>
          </c:cat>
          <c:val>
            <c:numRef>
              <c:f>表とグラフ!$D$4:$D$7</c:f>
              <c:numCache>
                <c:formatCode>0"歳"</c:formatCode>
                <c:ptCount val="4"/>
                <c:pt idx="0">
                  <c:v>33</c:v>
                </c:pt>
                <c:pt idx="1">
                  <c:v>24</c:v>
                </c:pt>
                <c:pt idx="2">
                  <c:v>45</c:v>
                </c:pt>
                <c:pt idx="3">
                  <c:v>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347-414D-BFBC-75DE115E706D}"/>
            </c:ext>
          </c:extLst>
        </c:ser>
        <c:ser>
          <c:idx val="1"/>
          <c:order val="1"/>
          <c:tx>
            <c:v>コメントと身長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表とグラフ!$C$4:$C$7</c:f>
              <c:strCache>
                <c:ptCount val="4"/>
                <c:pt idx="0">
                  <c:v>Aさん</c:v>
                </c:pt>
                <c:pt idx="1">
                  <c:v>Bさん</c:v>
                </c:pt>
                <c:pt idx="2">
                  <c:v>Cさん</c:v>
                </c:pt>
                <c:pt idx="3">
                  <c:v>Dさん</c:v>
                </c:pt>
              </c:strCache>
            </c:strRef>
          </c:cat>
          <c:val>
            <c:numRef>
              <c:f>表とグラフ!$E$4:$E$7</c:f>
              <c:numCache>
                <c:formatCode>0"㎝"</c:formatCode>
                <c:ptCount val="4"/>
                <c:pt idx="0">
                  <c:v>178</c:v>
                </c:pt>
                <c:pt idx="1">
                  <c:v>155</c:v>
                </c:pt>
                <c:pt idx="2">
                  <c:v>167</c:v>
                </c:pt>
                <c:pt idx="3">
                  <c:v>160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347-414D-BFBC-75DE115E706D}"/>
            </c:ext>
          </c:extLst>
        </c:ser>
        <c:ser>
          <c:idx val="2"/>
          <c:order val="2"/>
          <c:tx>
            <c:strRef>
              <c:f>表とグラフ!$F$3</c:f>
              <c:strCache>
                <c:ptCount val="1"/>
                <c:pt idx="0">
                  <c:v>体重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表とグラフ!$C$4:$C$7</c:f>
              <c:strCache>
                <c:ptCount val="4"/>
                <c:pt idx="0">
                  <c:v>Aさん</c:v>
                </c:pt>
                <c:pt idx="1">
                  <c:v>Bさん</c:v>
                </c:pt>
                <c:pt idx="2">
                  <c:v>Cさん</c:v>
                </c:pt>
                <c:pt idx="3">
                  <c:v>Dさん</c:v>
                </c:pt>
              </c:strCache>
            </c:strRef>
          </c:cat>
          <c:val>
            <c:numRef>
              <c:f>表とグラフ!$F$4:$F$7</c:f>
              <c:numCache>
                <c:formatCode>0"㎏"</c:formatCode>
                <c:ptCount val="4"/>
                <c:pt idx="0">
                  <c:v>75</c:v>
                </c:pt>
                <c:pt idx="1">
                  <c:v>58</c:v>
                </c:pt>
                <c:pt idx="2">
                  <c:v>55</c:v>
                </c:pt>
                <c:pt idx="3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347-414D-BFBC-75DE115E70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435663"/>
        <c:axId val="32439503"/>
      </c:barChart>
      <c:catAx>
        <c:axId val="3243566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軸ラベル 人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2439503"/>
        <c:crosses val="autoZero"/>
        <c:auto val="1"/>
        <c:lblAlgn val="ctr"/>
        <c:lblOffset val="100"/>
        <c:noMultiLvlLbl val="0"/>
      </c:catAx>
      <c:valAx>
        <c:axId val="324395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軸ラベル数値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0&quot;歳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24356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59541968-4944-4C9E-AE29-A71D243ACFFC}">
  <sheetPr codeName="グラフ11"/>
  <sheetViews>
    <sheetView zoomScale="119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hyperlink" Target="#&#34920;&#12392;&#24335;!C3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png"/><Relationship Id="rId3" Type="http://schemas.openxmlformats.org/officeDocument/2006/relationships/hyperlink" Target="https://creativecommons.org/licenses/by-sa/3.0/" TargetMode="External"/><Relationship Id="rId7" Type="http://schemas.openxmlformats.org/officeDocument/2006/relationships/hyperlink" Target="https://pixnio.com/ja/media/ja-2267821" TargetMode="External"/><Relationship Id="rId2" Type="http://schemas.openxmlformats.org/officeDocument/2006/relationships/hyperlink" Target="https://www.flickr.com/photos/71481771@N00/155686941" TargetMode="External"/><Relationship Id="rId1" Type="http://schemas.openxmlformats.org/officeDocument/2006/relationships/image" Target="../media/image3.jpg"/><Relationship Id="rId6" Type="http://schemas.openxmlformats.org/officeDocument/2006/relationships/image" Target="../media/image5.jpeg"/><Relationship Id="rId5" Type="http://schemas.openxmlformats.org/officeDocument/2006/relationships/hyperlink" Target="https://pixnio.com/ja/%E5%8B%95%E7%89%A9/%E3%83%AA%E3%82%B9/%E3%83%AA%E3%82%B9-%E3%82%AD%E3%83%84%E3%83%8D%E3%83%AA%E3%82%B9-%E6%A8%B9%E3%83%AA%E3%82%B9-%E9%BD%A7%E6%AD%AF%E5%8B%95%E7%89%A9-%E9%87%8E%E7%94%9F%E5%8B%95%E7%89%A9-%E5%8B%95%E7%89%A9" TargetMode="External"/><Relationship Id="rId4" Type="http://schemas.openxmlformats.org/officeDocument/2006/relationships/image" Target="../media/image4.jp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jpg"/><Relationship Id="rId2" Type="http://schemas.openxmlformats.org/officeDocument/2006/relationships/image" Target="../media/image8.gif"/><Relationship Id="rId1" Type="http://schemas.openxmlformats.org/officeDocument/2006/relationships/image" Target="../media/image7.png"/><Relationship Id="rId6" Type="http://schemas.openxmlformats.org/officeDocument/2006/relationships/image" Target="../media/image12.svg"/><Relationship Id="rId5" Type="http://schemas.openxmlformats.org/officeDocument/2006/relationships/image" Target="../media/image11.png"/><Relationship Id="rId4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15</xdr:row>
      <xdr:rowOff>0</xdr:rowOff>
    </xdr:from>
    <xdr:to>
      <xdr:col>19</xdr:col>
      <xdr:colOff>610642</xdr:colOff>
      <xdr:row>28</xdr:row>
      <xdr:rowOff>219538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C18F6CD6-6980-365A-A44F-1520CB4D31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486400" y="3095625"/>
          <a:ext cx="7468642" cy="33151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4</xdr:row>
          <xdr:rowOff>123825</xdr:rowOff>
        </xdr:from>
        <xdr:to>
          <xdr:col>10</xdr:col>
          <xdr:colOff>571500</xdr:colOff>
          <xdr:row>7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ボタンのコメント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</xdr:row>
      <xdr:rowOff>161925</xdr:rowOff>
    </xdr:from>
    <xdr:to>
      <xdr:col>5</xdr:col>
      <xdr:colOff>638175</xdr:colOff>
      <xdr:row>11</xdr:row>
      <xdr:rowOff>171450</xdr:rowOff>
    </xdr:to>
    <xdr:sp macro="" textlink="">
      <xdr:nvSpPr>
        <xdr:cNvPr id="2" name="正方形/長方形 1" descr="四角形に”コメント”のテキストが入っています。">
          <a:extLst>
            <a:ext uri="{FF2B5EF4-FFF2-40B4-BE49-F238E27FC236}">
              <a16:creationId xmlns:a16="http://schemas.microsoft.com/office/drawing/2014/main" id="{93DF693E-9B40-AE60-F1A3-A7B3699599A5}"/>
            </a:ext>
          </a:extLst>
        </xdr:cNvPr>
        <xdr:cNvSpPr/>
      </xdr:nvSpPr>
      <xdr:spPr>
        <a:xfrm>
          <a:off x="695325" y="400050"/>
          <a:ext cx="3371850" cy="239077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コメント</a:t>
          </a:r>
        </a:p>
      </xdr:txBody>
    </xdr:sp>
    <xdr:clientData/>
  </xdr:twoCellAnchor>
  <xdr:twoCellAnchor>
    <xdr:from>
      <xdr:col>1</xdr:col>
      <xdr:colOff>200025</xdr:colOff>
      <xdr:row>13</xdr:row>
      <xdr:rowOff>19050</xdr:rowOff>
    </xdr:from>
    <xdr:to>
      <xdr:col>6</xdr:col>
      <xdr:colOff>352425</xdr:colOff>
      <xdr:row>23</xdr:row>
      <xdr:rowOff>85725</xdr:rowOff>
    </xdr:to>
    <xdr:sp macro="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C7DC1954-1D0E-4499-AADB-3E01EDA6BB65}"/>
            </a:ext>
          </a:extLst>
        </xdr:cNvPr>
        <xdr:cNvSpPr/>
      </xdr:nvSpPr>
      <xdr:spPr>
        <a:xfrm>
          <a:off x="885825" y="3114675"/>
          <a:ext cx="3581400" cy="24479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これは角が丸い</a:t>
          </a:r>
          <a:endParaRPr kumimoji="1" lang="en-US" altLang="ja-JP" sz="1100"/>
        </a:p>
        <a:p>
          <a:pPr algn="ctr"/>
          <a:r>
            <a:rPr kumimoji="1" lang="ja-JP" altLang="en-US" sz="1100"/>
            <a:t>四角形です</a:t>
          </a:r>
        </a:p>
      </xdr:txBody>
    </xdr:sp>
    <xdr:clientData/>
  </xdr:twoCellAnchor>
  <xdr:twoCellAnchor>
    <xdr:from>
      <xdr:col>2</xdr:col>
      <xdr:colOff>628650</xdr:colOff>
      <xdr:row>26</xdr:row>
      <xdr:rowOff>133350</xdr:rowOff>
    </xdr:from>
    <xdr:to>
      <xdr:col>5</xdr:col>
      <xdr:colOff>371475</xdr:colOff>
      <xdr:row>29</xdr:row>
      <xdr:rowOff>38100</xdr:rowOff>
    </xdr:to>
    <xdr:sp macro="" textlink="">
      <xdr:nvSpPr>
        <xdr:cNvPr id="4" name="矢印: 右 3">
          <a:extLst>
            <a:ext uri="{FF2B5EF4-FFF2-40B4-BE49-F238E27FC236}">
              <a16:creationId xmlns:a16="http://schemas.microsoft.com/office/drawing/2014/main" id="{2057CD24-56C6-80BA-CDDF-DD8D2FEB7B7E}"/>
            </a:ext>
          </a:extLst>
        </xdr:cNvPr>
        <xdr:cNvSpPr/>
      </xdr:nvSpPr>
      <xdr:spPr>
        <a:xfrm>
          <a:off x="2000250" y="6324600"/>
          <a:ext cx="1800225" cy="619125"/>
        </a:xfrm>
        <a:prstGeom prst="righ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右矢印１</a:t>
          </a:r>
        </a:p>
      </xdr:txBody>
    </xdr:sp>
    <xdr:clientData/>
  </xdr:twoCellAnchor>
  <xdr:twoCellAnchor>
    <xdr:from>
      <xdr:col>7</xdr:col>
      <xdr:colOff>285750</xdr:colOff>
      <xdr:row>26</xdr:row>
      <xdr:rowOff>142875</xdr:rowOff>
    </xdr:from>
    <xdr:to>
      <xdr:col>10</xdr:col>
      <xdr:colOff>28575</xdr:colOff>
      <xdr:row>29</xdr:row>
      <xdr:rowOff>47625</xdr:rowOff>
    </xdr:to>
    <xdr:sp macro="" textlink="">
      <xdr:nvSpPr>
        <xdr:cNvPr id="5" name="矢印: 右 4">
          <a:extLst>
            <a:ext uri="{FF2B5EF4-FFF2-40B4-BE49-F238E27FC236}">
              <a16:creationId xmlns:a16="http://schemas.microsoft.com/office/drawing/2014/main" id="{8FCC5C7E-FE94-02FD-1C10-5561CE6CD487}"/>
            </a:ext>
          </a:extLst>
        </xdr:cNvPr>
        <xdr:cNvSpPr/>
      </xdr:nvSpPr>
      <xdr:spPr>
        <a:xfrm rot="10800000">
          <a:off x="5086350" y="6334125"/>
          <a:ext cx="1800225" cy="619125"/>
        </a:xfrm>
        <a:prstGeom prst="righ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右矢印２</a:t>
          </a:r>
        </a:p>
      </xdr:txBody>
    </xdr:sp>
    <xdr:clientData/>
  </xdr:twoCellAnchor>
  <xdr:twoCellAnchor>
    <xdr:from>
      <xdr:col>5</xdr:col>
      <xdr:colOff>638175</xdr:colOff>
      <xdr:row>6</xdr:row>
      <xdr:rowOff>166688</xdr:rowOff>
    </xdr:from>
    <xdr:to>
      <xdr:col>6</xdr:col>
      <xdr:colOff>352425</xdr:colOff>
      <xdr:row>18</xdr:row>
      <xdr:rowOff>52388</xdr:rowOff>
    </xdr:to>
    <xdr:cxnSp macro="">
      <xdr:nvCxnSpPr>
        <xdr:cNvPr id="7" name="コネクタ: カギ線 6">
          <a:extLst>
            <a:ext uri="{FF2B5EF4-FFF2-40B4-BE49-F238E27FC236}">
              <a16:creationId xmlns:a16="http://schemas.microsoft.com/office/drawing/2014/main" id="{AD109DB3-539D-F1C1-1FFB-0A4DD51C50BB}"/>
            </a:ext>
          </a:extLst>
        </xdr:cNvPr>
        <xdr:cNvCxnSpPr>
          <a:stCxn id="3" idx="3"/>
          <a:endCxn id="2" idx="3"/>
        </xdr:cNvCxnSpPr>
      </xdr:nvCxnSpPr>
      <xdr:spPr>
        <a:xfrm flipH="1" flipV="1">
          <a:off x="4067175" y="1595438"/>
          <a:ext cx="400050" cy="2743200"/>
        </a:xfrm>
        <a:prstGeom prst="bentConnector3">
          <a:avLst>
            <a:gd name="adj1" fmla="val -209524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180975</xdr:colOff>
      <xdr:row>4</xdr:row>
      <xdr:rowOff>76200</xdr:rowOff>
    </xdr:from>
    <xdr:to>
      <xdr:col>21</xdr:col>
      <xdr:colOff>438150</xdr:colOff>
      <xdr:row>26</xdr:row>
      <xdr:rowOff>66675</xdr:rowOff>
    </xdr:to>
    <xdr:grpSp>
      <xdr:nvGrpSpPr>
        <xdr:cNvPr id="12" name="グループ化 11">
          <a:extLst>
            <a:ext uri="{FF2B5EF4-FFF2-40B4-BE49-F238E27FC236}">
              <a16:creationId xmlns:a16="http://schemas.microsoft.com/office/drawing/2014/main" id="{07D0ABB0-DD60-87D7-9F64-51F6A31CB973}"/>
            </a:ext>
          </a:extLst>
        </xdr:cNvPr>
        <xdr:cNvGrpSpPr/>
      </xdr:nvGrpSpPr>
      <xdr:grpSpPr>
        <a:xfrm>
          <a:off x="8410575" y="1028700"/>
          <a:ext cx="6429375" cy="5229225"/>
          <a:chOff x="8410575" y="1028700"/>
          <a:chExt cx="6429375" cy="5229225"/>
        </a:xfrm>
      </xdr:grpSpPr>
      <xdr:sp macro="" textlink="">
        <xdr:nvSpPr>
          <xdr:cNvPr id="6" name="正方形/長方形 5">
            <a:extLst>
              <a:ext uri="{FF2B5EF4-FFF2-40B4-BE49-F238E27FC236}">
                <a16:creationId xmlns:a16="http://schemas.microsoft.com/office/drawing/2014/main" id="{0DBE9C40-98BE-F67B-4DB9-9692CA9E319A}"/>
              </a:ext>
            </a:extLst>
          </xdr:cNvPr>
          <xdr:cNvSpPr/>
        </xdr:nvSpPr>
        <xdr:spPr>
          <a:xfrm>
            <a:off x="8410575" y="1028700"/>
            <a:ext cx="6429375" cy="5229225"/>
          </a:xfrm>
          <a:prstGeom prst="rect">
            <a:avLst/>
          </a:prstGeom>
          <a:solidFill>
            <a:schemeClr val="bg1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9" name="フローチャート: 判断 8">
            <a:extLst>
              <a:ext uri="{FF2B5EF4-FFF2-40B4-BE49-F238E27FC236}">
                <a16:creationId xmlns:a16="http://schemas.microsoft.com/office/drawing/2014/main" id="{D3420D32-37AA-606F-D58E-5865EC3CF940}"/>
              </a:ext>
            </a:extLst>
          </xdr:cNvPr>
          <xdr:cNvSpPr/>
        </xdr:nvSpPr>
        <xdr:spPr>
          <a:xfrm>
            <a:off x="8715375" y="2114550"/>
            <a:ext cx="2409825" cy="752475"/>
          </a:xfrm>
          <a:prstGeom prst="flowChartDecision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ja-JP" altLang="en-US" sz="1100"/>
              <a:t>判断</a:t>
            </a:r>
          </a:p>
        </xdr:txBody>
      </xdr:sp>
      <xdr:sp macro="" textlink="">
        <xdr:nvSpPr>
          <xdr:cNvPr id="10" name="フローチャート: 処理 9">
            <a:extLst>
              <a:ext uri="{FF2B5EF4-FFF2-40B4-BE49-F238E27FC236}">
                <a16:creationId xmlns:a16="http://schemas.microsoft.com/office/drawing/2014/main" id="{A7502D06-7894-416D-8888-77756FAB0E7C}"/>
              </a:ext>
            </a:extLst>
          </xdr:cNvPr>
          <xdr:cNvSpPr/>
        </xdr:nvSpPr>
        <xdr:spPr>
          <a:xfrm>
            <a:off x="8696325" y="3314700"/>
            <a:ext cx="2438400" cy="600075"/>
          </a:xfrm>
          <a:prstGeom prst="flowChartProcess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ja-JP" altLang="en-US" sz="1100"/>
              <a:t>処理</a:t>
            </a:r>
          </a:p>
        </xdr:txBody>
      </xdr:sp>
      <xdr:sp macro="" textlink="">
        <xdr:nvSpPr>
          <xdr:cNvPr id="11" name="フローチャート: 代替処理 10">
            <a:extLst>
              <a:ext uri="{FF2B5EF4-FFF2-40B4-BE49-F238E27FC236}">
                <a16:creationId xmlns:a16="http://schemas.microsoft.com/office/drawing/2014/main" id="{2A2EA4D0-D21A-259B-29FF-0513CFC71BFA}"/>
              </a:ext>
            </a:extLst>
          </xdr:cNvPr>
          <xdr:cNvSpPr/>
        </xdr:nvSpPr>
        <xdr:spPr>
          <a:xfrm>
            <a:off x="11810999" y="3276600"/>
            <a:ext cx="2238375" cy="628650"/>
          </a:xfrm>
          <a:prstGeom prst="flowChartAlternateProcess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ja-JP" altLang="en-US" sz="1100"/>
              <a:t>代替処理</a:t>
            </a:r>
          </a:p>
        </xdr:txBody>
      </xdr:sp>
      <xdr:cxnSp macro="">
        <xdr:nvCxnSpPr>
          <xdr:cNvPr id="13" name="コネクタ: カギ線 12">
            <a:extLst>
              <a:ext uri="{FF2B5EF4-FFF2-40B4-BE49-F238E27FC236}">
                <a16:creationId xmlns:a16="http://schemas.microsoft.com/office/drawing/2014/main" id="{3A4DD135-AF71-0EF8-CD70-9C7C56BFAFCF}"/>
              </a:ext>
            </a:extLst>
          </xdr:cNvPr>
          <xdr:cNvCxnSpPr>
            <a:cxnSpLocks/>
            <a:stCxn id="25" idx="2"/>
            <a:endCxn id="9" idx="0"/>
          </xdr:cNvCxnSpPr>
        </xdr:nvCxnSpPr>
        <xdr:spPr>
          <a:xfrm rot="16200000" flipH="1">
            <a:off x="9649682" y="1843944"/>
            <a:ext cx="536448" cy="4763"/>
          </a:xfrm>
          <a:prstGeom prst="bentConnector3">
            <a:avLst/>
          </a:prstGeom>
          <a:ln w="41275"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7" name="コネクタ: カギ線 16">
            <a:extLst>
              <a:ext uri="{FF2B5EF4-FFF2-40B4-BE49-F238E27FC236}">
                <a16:creationId xmlns:a16="http://schemas.microsoft.com/office/drawing/2014/main" id="{08A47C41-8418-4EC5-8152-C7C79131D55A}"/>
              </a:ext>
            </a:extLst>
          </xdr:cNvPr>
          <xdr:cNvCxnSpPr>
            <a:stCxn id="9" idx="2"/>
            <a:endCxn id="10" idx="0"/>
          </xdr:cNvCxnSpPr>
        </xdr:nvCxnSpPr>
        <xdr:spPr>
          <a:xfrm rot="5400000">
            <a:off x="9694070" y="3088481"/>
            <a:ext cx="447675" cy="4763"/>
          </a:xfrm>
          <a:prstGeom prst="bentConnector3">
            <a:avLst/>
          </a:prstGeom>
          <a:ln w="41275"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0" name="コネクタ: カギ線 19">
            <a:extLst>
              <a:ext uri="{FF2B5EF4-FFF2-40B4-BE49-F238E27FC236}">
                <a16:creationId xmlns:a16="http://schemas.microsoft.com/office/drawing/2014/main" id="{8C25B517-B58C-43F1-B590-99C110A9E854}"/>
              </a:ext>
            </a:extLst>
          </xdr:cNvPr>
          <xdr:cNvCxnSpPr>
            <a:stCxn id="9" idx="3"/>
            <a:endCxn id="11" idx="0"/>
          </xdr:cNvCxnSpPr>
        </xdr:nvCxnSpPr>
        <xdr:spPr>
          <a:xfrm>
            <a:off x="11125200" y="2490788"/>
            <a:ext cx="1804987" cy="785812"/>
          </a:xfrm>
          <a:prstGeom prst="bentConnector2">
            <a:avLst/>
          </a:prstGeom>
          <a:ln w="41275"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4" name="フローチャート: 端子 23">
            <a:extLst>
              <a:ext uri="{FF2B5EF4-FFF2-40B4-BE49-F238E27FC236}">
                <a16:creationId xmlns:a16="http://schemas.microsoft.com/office/drawing/2014/main" id="{257B14DD-7C9F-B13F-6823-3E9B1CDCA2BB}"/>
              </a:ext>
            </a:extLst>
          </xdr:cNvPr>
          <xdr:cNvSpPr/>
        </xdr:nvSpPr>
        <xdr:spPr>
          <a:xfrm>
            <a:off x="9467850" y="5676900"/>
            <a:ext cx="914400" cy="301752"/>
          </a:xfrm>
          <a:prstGeom prst="flowChartTerminator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ja-JP" altLang="en-US" sz="1100"/>
              <a:t>終了</a:t>
            </a:r>
          </a:p>
        </xdr:txBody>
      </xdr:sp>
      <xdr:sp macro="" textlink="">
        <xdr:nvSpPr>
          <xdr:cNvPr id="25" name="フローチャート: 端子 24">
            <a:extLst>
              <a:ext uri="{FF2B5EF4-FFF2-40B4-BE49-F238E27FC236}">
                <a16:creationId xmlns:a16="http://schemas.microsoft.com/office/drawing/2014/main" id="{58F7D45D-FC77-4FCD-A329-CE7E210C67DA}"/>
              </a:ext>
            </a:extLst>
          </xdr:cNvPr>
          <xdr:cNvSpPr/>
        </xdr:nvSpPr>
        <xdr:spPr>
          <a:xfrm>
            <a:off x="9458325" y="1276350"/>
            <a:ext cx="914400" cy="301752"/>
          </a:xfrm>
          <a:prstGeom prst="flowChartTerminator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ja-JP" altLang="en-US" sz="1100"/>
              <a:t>開始</a:t>
            </a:r>
          </a:p>
        </xdr:txBody>
      </xdr:sp>
      <xdr:sp macro="" textlink="">
        <xdr:nvSpPr>
          <xdr:cNvPr id="27" name="フローチャート: 定義済み処理 26">
            <a:extLst>
              <a:ext uri="{FF2B5EF4-FFF2-40B4-BE49-F238E27FC236}">
                <a16:creationId xmlns:a16="http://schemas.microsoft.com/office/drawing/2014/main" id="{CA344A1D-23ED-2859-3E07-F096578427DC}"/>
              </a:ext>
            </a:extLst>
          </xdr:cNvPr>
          <xdr:cNvSpPr/>
        </xdr:nvSpPr>
        <xdr:spPr>
          <a:xfrm>
            <a:off x="8763000" y="4524375"/>
            <a:ext cx="2314575" cy="676275"/>
          </a:xfrm>
          <a:prstGeom prst="flowChartPredefinedProcess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ja-JP" altLang="en-US" sz="1100"/>
              <a:t>定義済処理</a:t>
            </a:r>
          </a:p>
        </xdr:txBody>
      </xdr:sp>
      <xdr:cxnSp macro="">
        <xdr:nvCxnSpPr>
          <xdr:cNvPr id="28" name="コネクタ: カギ線 27">
            <a:extLst>
              <a:ext uri="{FF2B5EF4-FFF2-40B4-BE49-F238E27FC236}">
                <a16:creationId xmlns:a16="http://schemas.microsoft.com/office/drawing/2014/main" id="{0E9E1F13-AEA8-D0E4-DF9E-4F3049E2A4C1}"/>
              </a:ext>
            </a:extLst>
          </xdr:cNvPr>
          <xdr:cNvCxnSpPr>
            <a:stCxn id="10" idx="2"/>
            <a:endCxn id="27" idx="0"/>
          </xdr:cNvCxnSpPr>
        </xdr:nvCxnSpPr>
        <xdr:spPr>
          <a:xfrm rot="16200000" flipH="1">
            <a:off x="9613106" y="4217193"/>
            <a:ext cx="609600" cy="4763"/>
          </a:xfrm>
          <a:prstGeom prst="bentConnector3">
            <a:avLst/>
          </a:prstGeom>
          <a:ln w="41275"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1" name="コネクタ: カギ線 30">
            <a:extLst>
              <a:ext uri="{FF2B5EF4-FFF2-40B4-BE49-F238E27FC236}">
                <a16:creationId xmlns:a16="http://schemas.microsoft.com/office/drawing/2014/main" id="{3C54F2CB-EF78-40B8-A3F1-D4CA7521730D}"/>
              </a:ext>
            </a:extLst>
          </xdr:cNvPr>
          <xdr:cNvCxnSpPr>
            <a:stCxn id="11" idx="2"/>
          </xdr:cNvCxnSpPr>
        </xdr:nvCxnSpPr>
        <xdr:spPr>
          <a:xfrm rot="5400000">
            <a:off x="11251406" y="2607469"/>
            <a:ext cx="381000" cy="2976562"/>
          </a:xfrm>
          <a:prstGeom prst="bentConnector2">
            <a:avLst/>
          </a:prstGeom>
          <a:ln w="41275"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5" name="コネクタ: カギ線 34">
            <a:extLst>
              <a:ext uri="{FF2B5EF4-FFF2-40B4-BE49-F238E27FC236}">
                <a16:creationId xmlns:a16="http://schemas.microsoft.com/office/drawing/2014/main" id="{1C4FDB50-2BB8-4372-9747-05C53DFF4BCB}"/>
              </a:ext>
            </a:extLst>
          </xdr:cNvPr>
          <xdr:cNvCxnSpPr>
            <a:stCxn id="27" idx="2"/>
            <a:endCxn id="24" idx="0"/>
          </xdr:cNvCxnSpPr>
        </xdr:nvCxnSpPr>
        <xdr:spPr>
          <a:xfrm rot="16200000" flipH="1">
            <a:off x="9684544" y="5436394"/>
            <a:ext cx="476250" cy="4762"/>
          </a:xfrm>
          <a:prstGeom prst="bentConnector3">
            <a:avLst/>
          </a:prstGeom>
          <a:ln w="41275"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6</xdr:col>
      <xdr:colOff>28576</xdr:colOff>
      <xdr:row>31</xdr:row>
      <xdr:rowOff>66675</xdr:rowOff>
    </xdr:from>
    <xdr:to>
      <xdr:col>9</xdr:col>
      <xdr:colOff>257176</xdr:colOff>
      <xdr:row>40</xdr:row>
      <xdr:rowOff>57150</xdr:rowOff>
    </xdr:to>
    <xdr:grpSp>
      <xdr:nvGrpSpPr>
        <xdr:cNvPr id="18" name="グループ化 17" descr="外側のグループ">
          <a:extLst>
            <a:ext uri="{FF2B5EF4-FFF2-40B4-BE49-F238E27FC236}">
              <a16:creationId xmlns:a16="http://schemas.microsoft.com/office/drawing/2014/main" id="{A594A734-62DA-2198-F4FC-E8E990B275B0}"/>
            </a:ext>
          </a:extLst>
        </xdr:cNvPr>
        <xdr:cNvGrpSpPr/>
      </xdr:nvGrpSpPr>
      <xdr:grpSpPr>
        <a:xfrm>
          <a:off x="4143376" y="7448550"/>
          <a:ext cx="2286000" cy="2133600"/>
          <a:chOff x="4143376" y="7448550"/>
          <a:chExt cx="2286000" cy="2133600"/>
        </a:xfrm>
      </xdr:grpSpPr>
      <xdr:sp macro="" textlink="">
        <xdr:nvSpPr>
          <xdr:cNvPr id="8" name="正方形/長方形 7">
            <a:extLst>
              <a:ext uri="{FF2B5EF4-FFF2-40B4-BE49-F238E27FC236}">
                <a16:creationId xmlns:a16="http://schemas.microsoft.com/office/drawing/2014/main" id="{F9A499A9-0488-2B0F-9F46-2FF550BCF0A6}"/>
              </a:ext>
            </a:extLst>
          </xdr:cNvPr>
          <xdr:cNvSpPr/>
        </xdr:nvSpPr>
        <xdr:spPr>
          <a:xfrm>
            <a:off x="4143376" y="7448550"/>
            <a:ext cx="2286000" cy="2133600"/>
          </a:xfrm>
          <a:prstGeom prst="rect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kumimoji="1" lang="ja-JP" altLang="en-US" sz="1100"/>
              <a:t>土台</a:t>
            </a:r>
          </a:p>
        </xdr:txBody>
      </xdr:sp>
      <xdr:grpSp>
        <xdr:nvGrpSpPr>
          <xdr:cNvPr id="16" name="グループ化 15">
            <a:extLst>
              <a:ext uri="{FF2B5EF4-FFF2-40B4-BE49-F238E27FC236}">
                <a16:creationId xmlns:a16="http://schemas.microsoft.com/office/drawing/2014/main" id="{9E3E9B14-92BC-021A-D2AE-F7FD2A6725E6}"/>
              </a:ext>
            </a:extLst>
          </xdr:cNvPr>
          <xdr:cNvGrpSpPr/>
        </xdr:nvGrpSpPr>
        <xdr:grpSpPr>
          <a:xfrm>
            <a:off x="4400550" y="7762875"/>
            <a:ext cx="1819275" cy="1628775"/>
            <a:chOff x="4400550" y="7762875"/>
            <a:chExt cx="1819275" cy="1628775"/>
          </a:xfrm>
        </xdr:grpSpPr>
        <xdr:sp macro="" textlink="">
          <xdr:nvSpPr>
            <xdr:cNvPr id="14" name="正方形/長方形 13">
              <a:extLst>
                <a:ext uri="{FF2B5EF4-FFF2-40B4-BE49-F238E27FC236}">
                  <a16:creationId xmlns:a16="http://schemas.microsoft.com/office/drawing/2014/main" id="{AB08FAFB-90B1-4F90-AE62-F663DB8A18CA}"/>
                </a:ext>
              </a:extLst>
            </xdr:cNvPr>
            <xdr:cNvSpPr/>
          </xdr:nvSpPr>
          <xdr:spPr>
            <a:xfrm>
              <a:off x="4400550" y="7762875"/>
              <a:ext cx="1819275" cy="1628775"/>
            </a:xfrm>
            <a:prstGeom prst="rect">
              <a:avLst/>
            </a:prstGeom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kumimoji="1" lang="en-US" altLang="ja-JP" sz="1100"/>
                <a:t>1</a:t>
              </a:r>
              <a:r>
                <a:rPr kumimoji="1" lang="ja-JP" altLang="en-US" sz="1100"/>
                <a:t>段目</a:t>
              </a:r>
            </a:p>
          </xdr:txBody>
        </xdr:sp>
        <xdr:sp macro="" textlink="">
          <xdr:nvSpPr>
            <xdr:cNvPr id="15" name="正方形/長方形 14">
              <a:extLst>
                <a:ext uri="{FF2B5EF4-FFF2-40B4-BE49-F238E27FC236}">
                  <a16:creationId xmlns:a16="http://schemas.microsoft.com/office/drawing/2014/main" id="{C7D364FC-41E3-4BE5-83DF-C1FCFB7ADF37}"/>
                </a:ext>
              </a:extLst>
            </xdr:cNvPr>
            <xdr:cNvSpPr/>
          </xdr:nvSpPr>
          <xdr:spPr>
            <a:xfrm>
              <a:off x="4657725" y="8096250"/>
              <a:ext cx="1323975" cy="1152525"/>
            </a:xfrm>
            <a:prstGeom prst="rect">
              <a:avLst/>
            </a:prstGeom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kumimoji="1" lang="ja-JP" altLang="en-US" sz="1100"/>
                <a:t>２段目</a:t>
              </a:r>
            </a:p>
          </xdr:txBody>
        </xdr:sp>
      </xdr:grp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142875</xdr:colOff>
      <xdr:row>7</xdr:row>
      <xdr:rowOff>28575</xdr:rowOff>
    </xdr:from>
    <xdr:to>
      <xdr:col>9</xdr:col>
      <xdr:colOff>76200</xdr:colOff>
      <xdr:row>31</xdr:row>
      <xdr:rowOff>209550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4B65CF0B-A7CD-0C20-9DE8-FA0BB61D083B}"/>
            </a:ext>
          </a:extLst>
        </xdr:cNvPr>
        <xdr:cNvSpPr/>
      </xdr:nvSpPr>
      <xdr:spPr>
        <a:xfrm>
          <a:off x="2047875" y="1695450"/>
          <a:ext cx="171450" cy="589597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85725</xdr:colOff>
      <xdr:row>9</xdr:row>
      <xdr:rowOff>0</xdr:rowOff>
    </xdr:from>
    <xdr:to>
      <xdr:col>18</xdr:col>
      <xdr:colOff>219075</xdr:colOff>
      <xdr:row>9</xdr:row>
      <xdr:rowOff>0</xdr:rowOff>
    </xdr:to>
    <xdr:cxnSp macro="">
      <xdr:nvCxnSpPr>
        <xdr:cNvPr id="4" name="直線矢印コネクタ 3">
          <a:extLst>
            <a:ext uri="{FF2B5EF4-FFF2-40B4-BE49-F238E27FC236}">
              <a16:creationId xmlns:a16="http://schemas.microsoft.com/office/drawing/2014/main" id="{A7838A07-5E42-90B9-023D-8F470945858C}"/>
            </a:ext>
          </a:extLst>
        </xdr:cNvPr>
        <xdr:cNvCxnSpPr/>
      </xdr:nvCxnSpPr>
      <xdr:spPr>
        <a:xfrm>
          <a:off x="2228850" y="2143125"/>
          <a:ext cx="2276475" cy="0"/>
        </a:xfrm>
        <a:prstGeom prst="straightConnector1">
          <a:avLst/>
        </a:prstGeom>
        <a:ln w="190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76200</xdr:colOff>
      <xdr:row>9</xdr:row>
      <xdr:rowOff>228600</xdr:rowOff>
    </xdr:from>
    <xdr:to>
      <xdr:col>28</xdr:col>
      <xdr:colOff>209550</xdr:colOff>
      <xdr:row>9</xdr:row>
      <xdr:rowOff>228600</xdr:rowOff>
    </xdr:to>
    <xdr:cxnSp macro="">
      <xdr:nvCxnSpPr>
        <xdr:cNvPr id="5" name="直線矢印コネクタ 4">
          <a:extLst>
            <a:ext uri="{FF2B5EF4-FFF2-40B4-BE49-F238E27FC236}">
              <a16:creationId xmlns:a16="http://schemas.microsoft.com/office/drawing/2014/main" id="{BDFEB87C-AB0A-6D30-8168-985F60356E34}"/>
            </a:ext>
          </a:extLst>
        </xdr:cNvPr>
        <xdr:cNvCxnSpPr/>
      </xdr:nvCxnSpPr>
      <xdr:spPr>
        <a:xfrm>
          <a:off x="4600575" y="2371725"/>
          <a:ext cx="2276475" cy="0"/>
        </a:xfrm>
        <a:prstGeom prst="straightConnector1">
          <a:avLst/>
        </a:prstGeom>
        <a:ln w="190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123825</xdr:colOff>
      <xdr:row>11</xdr:row>
      <xdr:rowOff>9525</xdr:rowOff>
    </xdr:from>
    <xdr:to>
      <xdr:col>39</xdr:col>
      <xdr:colOff>19050</xdr:colOff>
      <xdr:row>11</xdr:row>
      <xdr:rowOff>9525</xdr:rowOff>
    </xdr:to>
    <xdr:cxnSp macro="">
      <xdr:nvCxnSpPr>
        <xdr:cNvPr id="6" name="直線矢印コネクタ 5">
          <a:extLst>
            <a:ext uri="{FF2B5EF4-FFF2-40B4-BE49-F238E27FC236}">
              <a16:creationId xmlns:a16="http://schemas.microsoft.com/office/drawing/2014/main" id="{05B97C51-8DFB-6773-25C5-C5F5141F563F}"/>
            </a:ext>
          </a:extLst>
        </xdr:cNvPr>
        <xdr:cNvCxnSpPr/>
      </xdr:nvCxnSpPr>
      <xdr:spPr>
        <a:xfrm>
          <a:off x="7029450" y="2628900"/>
          <a:ext cx="2276475" cy="0"/>
        </a:xfrm>
        <a:prstGeom prst="straightConnector1">
          <a:avLst/>
        </a:prstGeom>
        <a:ln w="190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104775</xdr:colOff>
      <xdr:row>12</xdr:row>
      <xdr:rowOff>0</xdr:rowOff>
    </xdr:from>
    <xdr:to>
      <xdr:col>49</xdr:col>
      <xdr:colOff>0</xdr:colOff>
      <xdr:row>12</xdr:row>
      <xdr:rowOff>0</xdr:rowOff>
    </xdr:to>
    <xdr:cxnSp macro="">
      <xdr:nvCxnSpPr>
        <xdr:cNvPr id="7" name="直線矢印コネクタ 6">
          <a:extLst>
            <a:ext uri="{FF2B5EF4-FFF2-40B4-BE49-F238E27FC236}">
              <a16:creationId xmlns:a16="http://schemas.microsoft.com/office/drawing/2014/main" id="{319F3379-6ABF-4D68-B215-87C6C8FDFB32}"/>
            </a:ext>
          </a:extLst>
        </xdr:cNvPr>
        <xdr:cNvCxnSpPr/>
      </xdr:nvCxnSpPr>
      <xdr:spPr>
        <a:xfrm>
          <a:off x="9391650" y="2857500"/>
          <a:ext cx="2276475" cy="0"/>
        </a:xfrm>
        <a:prstGeom prst="straightConnector1">
          <a:avLst/>
        </a:prstGeom>
        <a:ln w="190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33131</xdr:colOff>
      <xdr:row>3</xdr:row>
      <xdr:rowOff>49696</xdr:rowOff>
    </xdr:from>
    <xdr:to>
      <xdr:col>58</xdr:col>
      <xdr:colOff>231913</xdr:colOff>
      <xdr:row>6</xdr:row>
      <xdr:rowOff>74543</xdr:rowOff>
    </xdr:to>
    <xdr:sp macro="" textlink="">
      <xdr:nvSpPr>
        <xdr:cNvPr id="3" name="吹き出し: 四角形 2">
          <a:extLst>
            <a:ext uri="{FF2B5EF4-FFF2-40B4-BE49-F238E27FC236}">
              <a16:creationId xmlns:a16="http://schemas.microsoft.com/office/drawing/2014/main" id="{6EA9DD4D-64D1-BE34-9030-2663FD3DDB0C}"/>
            </a:ext>
          </a:extLst>
        </xdr:cNvPr>
        <xdr:cNvSpPr/>
      </xdr:nvSpPr>
      <xdr:spPr>
        <a:xfrm>
          <a:off x="13003696" y="770283"/>
          <a:ext cx="1159565" cy="745434"/>
        </a:xfrm>
        <a:prstGeom prst="wedgeRectCallout">
          <a:avLst>
            <a:gd name="adj1" fmla="val -92262"/>
            <a:gd name="adj2" fmla="val -57500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吹き出し１</a:t>
          </a:r>
        </a:p>
      </xdr:txBody>
    </xdr:sp>
    <xdr:clientData/>
  </xdr:twoCellAnchor>
  <xdr:twoCellAnchor>
    <xdr:from>
      <xdr:col>1</xdr:col>
      <xdr:colOff>165652</xdr:colOff>
      <xdr:row>6</xdr:row>
      <xdr:rowOff>115956</xdr:rowOff>
    </xdr:from>
    <xdr:to>
      <xdr:col>6</xdr:col>
      <xdr:colOff>91109</xdr:colOff>
      <xdr:row>9</xdr:row>
      <xdr:rowOff>99391</xdr:rowOff>
    </xdr:to>
    <xdr:sp macro="" textlink="">
      <xdr:nvSpPr>
        <xdr:cNvPr id="8" name="吹き出し: 角を丸めた四角形 7">
          <a:extLst>
            <a:ext uri="{FF2B5EF4-FFF2-40B4-BE49-F238E27FC236}">
              <a16:creationId xmlns:a16="http://schemas.microsoft.com/office/drawing/2014/main" id="{6ED85B4C-FEFE-49A4-2911-293D0D5BF90C}"/>
            </a:ext>
          </a:extLst>
        </xdr:cNvPr>
        <xdr:cNvSpPr/>
      </xdr:nvSpPr>
      <xdr:spPr>
        <a:xfrm>
          <a:off x="405848" y="1557130"/>
          <a:ext cx="1126435" cy="704022"/>
        </a:xfrm>
        <a:prstGeom prst="wedgeRoundRectCallout">
          <a:avLst>
            <a:gd name="adj1" fmla="val 99020"/>
            <a:gd name="adj2" fmla="val 111912"/>
            <a:gd name="adj3" fmla="val 16667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吹き出し２</a:t>
          </a:r>
        </a:p>
      </xdr:txBody>
    </xdr:sp>
    <xdr:clientData/>
  </xdr:twoCellAnchor>
  <xdr:twoCellAnchor>
    <xdr:from>
      <xdr:col>31</xdr:col>
      <xdr:colOff>99392</xdr:colOff>
      <xdr:row>14</xdr:row>
      <xdr:rowOff>140804</xdr:rowOff>
    </xdr:from>
    <xdr:to>
      <xdr:col>38</xdr:col>
      <xdr:colOff>24848</xdr:colOff>
      <xdr:row>18</xdr:row>
      <xdr:rowOff>198782</xdr:rowOff>
    </xdr:to>
    <xdr:sp macro="" textlink="">
      <xdr:nvSpPr>
        <xdr:cNvPr id="9" name="吹き出し: 円形 8">
          <a:extLst>
            <a:ext uri="{FF2B5EF4-FFF2-40B4-BE49-F238E27FC236}">
              <a16:creationId xmlns:a16="http://schemas.microsoft.com/office/drawing/2014/main" id="{46D6028B-D201-F7B8-6F2A-8D5ABC1CF88A}"/>
            </a:ext>
          </a:extLst>
        </xdr:cNvPr>
        <xdr:cNvSpPr/>
      </xdr:nvSpPr>
      <xdr:spPr>
        <a:xfrm>
          <a:off x="7545457" y="3503543"/>
          <a:ext cx="1606826" cy="1018761"/>
        </a:xfrm>
        <a:prstGeom prst="wedgeEllipseCallout">
          <a:avLst>
            <a:gd name="adj1" fmla="val -83720"/>
            <a:gd name="adj2" fmla="val -70833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吹き出し３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47625</xdr:colOff>
      <xdr:row>4</xdr:row>
      <xdr:rowOff>114300</xdr:rowOff>
    </xdr:from>
    <xdr:to>
      <xdr:col>14</xdr:col>
      <xdr:colOff>228600</xdr:colOff>
      <xdr:row>10</xdr:row>
      <xdr:rowOff>123825</xdr:rowOff>
    </xdr:to>
    <xdr:sp macro="" textlink="C3">
      <xdr:nvSpPr>
        <xdr:cNvPr id="2" name="正方形/長方形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A5027D7-458B-2B6F-6E32-A3F6B72F8821}"/>
            </a:ext>
          </a:extLst>
        </xdr:cNvPr>
        <xdr:cNvSpPr/>
      </xdr:nvSpPr>
      <xdr:spPr>
        <a:xfrm>
          <a:off x="8181975" y="1066800"/>
          <a:ext cx="2238375" cy="143827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09789A4B-BEFD-4FE9-80BC-F83FEE86B72E}" type="TxLink">
            <a:rPr kumimoji="1" lang="en-US" altLang="en-US" sz="1100" b="0" i="0" u="none" strike="noStrike">
              <a:solidFill>
                <a:srgbClr val="000000"/>
              </a:solidFill>
              <a:latin typeface="Yu Gothic"/>
              <a:ea typeface="Yu Gothic"/>
            </a:rPr>
            <a:pPr algn="l"/>
            <a:t>No.</a:t>
          </a:fld>
          <a:endParaRPr kumimoji="1" lang="en-US" altLang="ja-JP" sz="1100"/>
        </a:p>
      </xdr:txBody>
    </xdr:sp>
    <xdr:clientData/>
  </xdr:twoCellAnchor>
  <xdr:twoCellAnchor editAs="oneCell">
    <xdr:from>
      <xdr:col>8</xdr:col>
      <xdr:colOff>219075</xdr:colOff>
      <xdr:row>14</xdr:row>
      <xdr:rowOff>136736</xdr:rowOff>
    </xdr:from>
    <xdr:to>
      <xdr:col>18</xdr:col>
      <xdr:colOff>346766</xdr:colOff>
      <xdr:row>20</xdr:row>
      <xdr:rowOff>133349</xdr:rowOff>
    </xdr:to>
    <xdr:pic>
      <xdr:nvPicPr>
        <xdr:cNvPr id="3" name="図 2" descr="図としてコピー">
          <a:extLst>
            <a:ext uri="{FF2B5EF4-FFF2-40B4-BE49-F238E27FC236}">
              <a16:creationId xmlns:a16="http://schemas.microsoft.com/office/drawing/2014/main" id="{13D2E997-7CA9-70FA-3DAC-8DD04E59D9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96025" y="3470486"/>
          <a:ext cx="6985691" cy="14253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absoluteAnchor>
    <xdr:pos x="0" y="0"/>
    <xdr:ext cx="9300882" cy="6075189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A526EB72-9BC3-9F2D-4046-EBBF626C1346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176212</xdr:colOff>
      <xdr:row>9</xdr:row>
      <xdr:rowOff>190500</xdr:rowOff>
    </xdr:from>
    <xdr:to>
      <xdr:col>8</xdr:col>
      <xdr:colOff>633412</xdr:colOff>
      <xdr:row>21</xdr:row>
      <xdr:rowOff>76200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89120D86-08F9-A1DB-7856-1CEE9DFB1CA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12</xdr:col>
      <xdr:colOff>228600</xdr:colOff>
      <xdr:row>22</xdr:row>
      <xdr:rowOff>168324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D2BC8F36-36DF-8479-577D-7F1B663D59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tretch>
          <a:fillRect/>
        </a:stretch>
      </xdr:blipFill>
      <xdr:spPr>
        <a:xfrm>
          <a:off x="685800" y="238125"/>
          <a:ext cx="7772400" cy="5168949"/>
        </a:xfrm>
        <a:prstGeom prst="rect">
          <a:avLst/>
        </a:prstGeom>
        <a:ln w="228600" cap="sq" cmpd="thickThin">
          <a:solidFill>
            <a:srgbClr val="000000"/>
          </a:solidFill>
          <a:prstDash val="solid"/>
          <a:miter lim="800000"/>
        </a:ln>
        <a:effectLst>
          <a:innerShdw blurRad="76200">
            <a:srgbClr val="000000"/>
          </a:innerShdw>
        </a:effectLst>
      </xdr:spPr>
    </xdr:pic>
    <xdr:clientData/>
  </xdr:twoCellAnchor>
  <xdr:oneCellAnchor>
    <xdr:from>
      <xdr:col>1</xdr:col>
      <xdr:colOff>0</xdr:colOff>
      <xdr:row>22</xdr:row>
      <xdr:rowOff>168324</xdr:rowOff>
    </xdr:from>
    <xdr:ext cx="7772400" cy="285527"/>
    <xdr:sp macro="" textlink="">
      <xdr:nvSpPr>
        <xdr:cNvPr id="4" name="テキスト ボックス 3">
          <a:extLst>
            <a:ext uri="{FF2B5EF4-FFF2-40B4-BE49-F238E27FC236}">
              <a16:creationId xmlns:a16="http://schemas.microsoft.com/office/drawing/2014/main" id="{2D2CCD3A-4C37-3101-4974-E0B3815A9424}"/>
            </a:ext>
          </a:extLst>
        </xdr:cNvPr>
        <xdr:cNvSpPr txBox="1"/>
      </xdr:nvSpPr>
      <xdr:spPr>
        <a:xfrm>
          <a:off x="685800" y="5407074"/>
          <a:ext cx="7772400" cy="2855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ja-JP" altLang="en-US" sz="900">
              <a:hlinkClick xmlns:r="http://schemas.openxmlformats.org/officeDocument/2006/relationships" r:id="rId2" tooltip="https://www.flickr.com/photos/71481771@N00/155686941"/>
            </a:rPr>
            <a:t>この写真</a:t>
          </a:r>
          <a:r>
            <a:rPr lang="ja-JP" altLang="en-US" sz="900"/>
            <a:t> の作成者 不明な作成者 は </a:t>
          </a:r>
          <a:r>
            <a:rPr lang="ja-JP" altLang="en-US" sz="900">
              <a:hlinkClick xmlns:r="http://schemas.openxmlformats.org/officeDocument/2006/relationships" r:id="rId3" tooltip="https://creativecommons.org/licenses/by-sa/3.0/"/>
            </a:rPr>
            <a:t>CC BY-SA</a:t>
          </a:r>
          <a:r>
            <a:rPr lang="ja-JP" altLang="en-US" sz="900"/>
            <a:t> のライセンスを許諾されています</a:t>
          </a:r>
        </a:p>
      </xdr:txBody>
    </xdr:sp>
    <xdr:clientData/>
  </xdr:oneCellAnchor>
  <xdr:twoCellAnchor editAs="oneCell">
    <xdr:from>
      <xdr:col>13</xdr:col>
      <xdr:colOff>9525</xdr:colOff>
      <xdr:row>1</xdr:row>
      <xdr:rowOff>19050</xdr:rowOff>
    </xdr:from>
    <xdr:to>
      <xdr:col>21</xdr:col>
      <xdr:colOff>9525</xdr:colOff>
      <xdr:row>16</xdr:row>
      <xdr:rowOff>104775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85F762BE-E4AE-564C-D334-A526643D99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5"/>
            </a:ext>
          </a:extLst>
        </a:blip>
        <a:stretch>
          <a:fillRect/>
        </a:stretch>
      </xdr:blipFill>
      <xdr:spPr>
        <a:xfrm>
          <a:off x="8924925" y="257175"/>
          <a:ext cx="5486400" cy="3657600"/>
        </a:xfrm>
        <a:prstGeom prst="ellipse">
          <a:avLst/>
        </a:prstGeom>
        <a:ln w="63500" cap="rnd">
          <a:solidFill>
            <a:srgbClr val="333333"/>
          </a:solidFill>
        </a:ln>
        <a:effectLst>
          <a:outerShdw blurRad="381000" dist="292100" dir="5400000" sx="-80000" sy="-18000" rotWithShape="0">
            <a:srgbClr val="000000">
              <a:alpha val="22000"/>
            </a:srgbClr>
          </a:outerShdw>
        </a:effectLst>
        <a:scene3d>
          <a:camera prst="orthographicFront"/>
          <a:lightRig rig="contrasting" dir="t">
            <a:rot lat="0" lon="0" rev="3000000"/>
          </a:lightRig>
        </a:scene3d>
        <a:sp3d contourW="7620">
          <a:bevelT w="95250" h="31750"/>
          <a:contourClr>
            <a:srgbClr val="333333"/>
          </a:contourClr>
        </a:sp3d>
      </xdr:spPr>
    </xdr:pic>
    <xdr:clientData/>
  </xdr:twoCellAnchor>
  <xdr:twoCellAnchor editAs="oneCell">
    <xdr:from>
      <xdr:col>13</xdr:col>
      <xdr:colOff>0</xdr:colOff>
      <xdr:row>18</xdr:row>
      <xdr:rowOff>0</xdr:rowOff>
    </xdr:from>
    <xdr:to>
      <xdr:col>18</xdr:col>
      <xdr:colOff>228600</xdr:colOff>
      <xdr:row>28</xdr:row>
      <xdr:rowOff>57150</xdr:rowOff>
    </xdr:to>
    <xdr:pic>
      <xdr:nvPicPr>
        <xdr:cNvPr id="8" name="図 7">
          <a:extLst>
            <a:ext uri="{FF2B5EF4-FFF2-40B4-BE49-F238E27FC236}">
              <a16:creationId xmlns:a16="http://schemas.microsoft.com/office/drawing/2014/main" id="{E519C2B0-AEE6-F467-D8A4-842E5D9B30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7"/>
            </a:ext>
          </a:extLst>
        </a:blip>
        <a:stretch>
          <a:fillRect/>
        </a:stretch>
      </xdr:blipFill>
      <xdr:spPr>
        <a:xfrm>
          <a:off x="8915400" y="4286250"/>
          <a:ext cx="3657600" cy="2438400"/>
        </a:xfrm>
        <a:prstGeom prst="snip2DiagRect">
          <a:avLst/>
        </a:prstGeom>
        <a:solidFill>
          <a:srgbClr val="FFFFFF">
            <a:shade val="85000"/>
          </a:srgbClr>
        </a:solidFill>
        <a:ln w="88900" cap="sq">
          <a:solidFill>
            <a:srgbClr val="FFFFFF"/>
          </a:solidFill>
          <a:miter lim="800000"/>
        </a:ln>
        <a:effectLst>
          <a:outerShdw blurRad="88900" algn="tl" rotWithShape="0">
            <a:srgbClr val="000000">
              <a:alpha val="45000"/>
            </a:srgbClr>
          </a:outerShdw>
        </a:effectLst>
        <a:scene3d>
          <a:camera prst="orthographicFront"/>
          <a:lightRig rig="twoPt" dir="t">
            <a:rot lat="0" lon="0" rev="7200000"/>
          </a:lightRig>
        </a:scene3d>
        <a:sp3d>
          <a:bevelT w="25400" h="19050"/>
          <a:contourClr>
            <a:srgbClr val="FFFFFF"/>
          </a:contourClr>
        </a:sp3d>
      </xdr:spPr>
    </xdr:pic>
    <xdr:clientData/>
  </xdr:twoCellAnchor>
  <xdr:twoCellAnchor editAs="oneCell">
    <xdr:from>
      <xdr:col>1</xdr:col>
      <xdr:colOff>0</xdr:colOff>
      <xdr:row>27</xdr:row>
      <xdr:rowOff>0</xdr:rowOff>
    </xdr:from>
    <xdr:to>
      <xdr:col>6</xdr:col>
      <xdr:colOff>248163</xdr:colOff>
      <xdr:row>36</xdr:row>
      <xdr:rowOff>200352</xdr:rowOff>
    </xdr:to>
    <xdr:pic>
      <xdr:nvPicPr>
        <xdr:cNvPr id="9" name="図 8">
          <a:extLst>
            <a:ext uri="{FF2B5EF4-FFF2-40B4-BE49-F238E27FC236}">
              <a16:creationId xmlns:a16="http://schemas.microsoft.com/office/drawing/2014/main" id="{5BA72E05-B428-CA5D-4497-E687115FA2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685800" y="6429375"/>
          <a:ext cx="3677163" cy="2343477"/>
        </a:xfrm>
        <a:prstGeom prst="rect">
          <a:avLst/>
        </a:prstGeom>
        <a:solidFill>
          <a:srgbClr val="FFFFFF">
            <a:shade val="85000"/>
          </a:srgbClr>
        </a:solidFill>
        <a:ln w="190500" cap="rnd">
          <a:solidFill>
            <a:srgbClr val="FFFFFF"/>
          </a:solidFill>
        </a:ln>
        <a:effectLst>
          <a:outerShdw blurRad="36195" dist="12700" dir="11400000" algn="tl" rotWithShape="0">
            <a:srgbClr val="000000">
              <a:alpha val="33000"/>
            </a:srgbClr>
          </a:outerShdw>
        </a:effectLst>
        <a:scene3d>
          <a:camera prst="perspectiveContrastingLeftFacing">
            <a:rot lat="540000" lon="2100000" rev="0"/>
          </a:camera>
          <a:lightRig rig="soft" dir="t"/>
        </a:scene3d>
        <a:sp3d contourW="12700" prstMaterial="matte">
          <a:bevelT w="63500" h="50800"/>
          <a:contourClr>
            <a:srgbClr val="C0C0C0"/>
          </a:contourClr>
        </a:sp3d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314325</xdr:colOff>
      <xdr:row>2</xdr:row>
      <xdr:rowOff>180975</xdr:rowOff>
    </xdr:from>
    <xdr:to>
      <xdr:col>12</xdr:col>
      <xdr:colOff>113079</xdr:colOff>
      <xdr:row>9</xdr:row>
      <xdr:rowOff>190500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43103C2D-BBD3-7B8C-F9B0-8848FD318A1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284" t="20670" r="76617" b="66115"/>
        <a:stretch>
          <a:fillRect/>
        </a:stretch>
      </xdr:blipFill>
      <xdr:spPr>
        <a:xfrm>
          <a:off x="3743325" y="657225"/>
          <a:ext cx="4599354" cy="1676400"/>
        </a:xfrm>
        <a:prstGeom prst="rect">
          <a:avLst/>
        </a:prstGeom>
      </xdr:spPr>
    </xdr:pic>
    <xdr:clientData/>
  </xdr:twoCellAnchor>
  <xdr:twoCellAnchor editAs="oneCell">
    <xdr:from>
      <xdr:col>1</xdr:col>
      <xdr:colOff>571500</xdr:colOff>
      <xdr:row>3</xdr:row>
      <xdr:rowOff>190500</xdr:rowOff>
    </xdr:from>
    <xdr:to>
      <xdr:col>4</xdr:col>
      <xdr:colOff>57150</xdr:colOff>
      <xdr:row>6</xdr:row>
      <xdr:rowOff>209551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39501CA5-97EB-F3BA-82CA-53D9D460A95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330" t="27544" r="51741" b="46355"/>
        <a:stretch>
          <a:fillRect/>
        </a:stretch>
      </xdr:blipFill>
      <xdr:spPr>
        <a:xfrm>
          <a:off x="1257300" y="904875"/>
          <a:ext cx="1543050" cy="733426"/>
        </a:xfrm>
        <a:prstGeom prst="rect">
          <a:avLst/>
        </a:prstGeom>
      </xdr:spPr>
    </xdr:pic>
    <xdr:clientData/>
  </xdr:twoCellAnchor>
  <xdr:twoCellAnchor editAs="oneCell">
    <xdr:from>
      <xdr:col>9</xdr:col>
      <xdr:colOff>609600</xdr:colOff>
      <xdr:row>12</xdr:row>
      <xdr:rowOff>28575</xdr:rowOff>
    </xdr:from>
    <xdr:to>
      <xdr:col>11</xdr:col>
      <xdr:colOff>647700</xdr:colOff>
      <xdr:row>14</xdr:row>
      <xdr:rowOff>95250</xdr:rowOff>
    </xdr:to>
    <xdr:pic>
      <xdr:nvPicPr>
        <xdr:cNvPr id="7" name="図 6">
          <a:extLst>
            <a:ext uri="{FF2B5EF4-FFF2-40B4-BE49-F238E27FC236}">
              <a16:creationId xmlns:a16="http://schemas.microsoft.com/office/drawing/2014/main" id="{65CD2067-86A8-5AAC-FE8B-FA8618988AD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3483" t="37798" r="50088" b="42880"/>
        <a:stretch>
          <a:fillRect/>
        </a:stretch>
      </xdr:blipFill>
      <xdr:spPr>
        <a:xfrm>
          <a:off x="6781800" y="2886075"/>
          <a:ext cx="1409700" cy="542925"/>
        </a:xfrm>
        <a:prstGeom prst="rect">
          <a:avLst/>
        </a:prstGeom>
      </xdr:spPr>
    </xdr:pic>
    <xdr:clientData/>
  </xdr:twoCellAnchor>
  <xdr:twoCellAnchor editAs="oneCell">
    <xdr:from>
      <xdr:col>13</xdr:col>
      <xdr:colOff>285750</xdr:colOff>
      <xdr:row>5</xdr:row>
      <xdr:rowOff>95250</xdr:rowOff>
    </xdr:from>
    <xdr:to>
      <xdr:col>15</xdr:col>
      <xdr:colOff>361950</xdr:colOff>
      <xdr:row>6</xdr:row>
      <xdr:rowOff>228600</xdr:rowOff>
    </xdr:to>
    <xdr:pic>
      <xdr:nvPicPr>
        <xdr:cNvPr id="9" name="図 8">
          <a:extLst>
            <a:ext uri="{FF2B5EF4-FFF2-40B4-BE49-F238E27FC236}">
              <a16:creationId xmlns:a16="http://schemas.microsoft.com/office/drawing/2014/main" id="{65B809F2-4E9C-6414-22DE-F46D1812029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669" t="14827" r="67199" b="71958"/>
        <a:stretch>
          <a:fillRect/>
        </a:stretch>
      </xdr:blipFill>
      <xdr:spPr>
        <a:xfrm>
          <a:off x="9201150" y="1285875"/>
          <a:ext cx="1447800" cy="371475"/>
        </a:xfrm>
        <a:prstGeom prst="rect">
          <a:avLst/>
        </a:prstGeom>
      </xdr:spPr>
    </xdr:pic>
    <xdr:clientData/>
  </xdr:twoCellAnchor>
  <xdr:twoCellAnchor editAs="oneCell">
    <xdr:from>
      <xdr:col>2</xdr:col>
      <xdr:colOff>457199</xdr:colOff>
      <xdr:row>13</xdr:row>
      <xdr:rowOff>28575</xdr:rowOff>
    </xdr:from>
    <xdr:to>
      <xdr:col>5</xdr:col>
      <xdr:colOff>171450</xdr:colOff>
      <xdr:row>15</xdr:row>
      <xdr:rowOff>94242</xdr:rowOff>
    </xdr:to>
    <xdr:pic>
      <xdr:nvPicPr>
        <xdr:cNvPr id="11" name="グラフィックス 10">
          <a:extLst>
            <a:ext uri="{FF2B5EF4-FFF2-40B4-BE49-F238E27FC236}">
              <a16:creationId xmlns:a16="http://schemas.microsoft.com/office/drawing/2014/main" id="{6B856561-4480-EB1D-E573-46BF38B3F75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rcRect l="18001" t="32004" r="18249" b="28996"/>
        <a:stretch>
          <a:fillRect/>
        </a:stretch>
      </xdr:blipFill>
      <xdr:spPr>
        <a:xfrm>
          <a:off x="1828799" y="3124200"/>
          <a:ext cx="1771651" cy="541917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571500</xdr:colOff>
      <xdr:row>42</xdr:row>
      <xdr:rowOff>152400</xdr:rowOff>
    </xdr:from>
    <xdr:to>
      <xdr:col>14</xdr:col>
      <xdr:colOff>266700</xdr:colOff>
      <xdr:row>120</xdr:row>
      <xdr:rowOff>200025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2552FC18-D04D-F8FA-280F-C9DD1D8DFCFA}"/>
            </a:ext>
          </a:extLst>
        </xdr:cNvPr>
        <xdr:cNvSpPr/>
      </xdr:nvSpPr>
      <xdr:spPr>
        <a:xfrm>
          <a:off x="571500" y="10153650"/>
          <a:ext cx="9925050" cy="18621375"/>
        </a:xfrm>
        <a:prstGeom prst="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4000"/>
            <a:t>全部ドロップ</a:t>
          </a:r>
          <a:endParaRPr kumimoji="1" lang="en-US" altLang="ja-JP" sz="40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src\tools\py_mcps\py_mcps\sample\test.xlsx" TargetMode="External"/><Relationship Id="rId1" Type="http://schemas.openxmlformats.org/officeDocument/2006/relationships/externalLinkPath" Target="te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NoneSheet"/>
      <sheetName val="TopLeft"/>
      <sheetName val="テキストシート"/>
    </sheetNames>
    <sheetDataSet>
      <sheetData sheetId="0"/>
      <sheetData sheetId="1"/>
      <sheetData sheetId="2">
        <row r="4">
          <cell r="C4">
            <v>1.1000000000000001</v>
          </cell>
          <cell r="D4" t="str">
            <v>目的</v>
          </cell>
        </row>
        <row r="5">
          <cell r="C5">
            <v>1.2</v>
          </cell>
          <cell r="D5" t="str">
            <v>目次</v>
          </cell>
        </row>
        <row r="6">
          <cell r="C6">
            <v>1.3</v>
          </cell>
          <cell r="D6" t="str">
            <v>概略</v>
          </cell>
        </row>
        <row r="7">
          <cell r="C7">
            <v>1.4</v>
          </cell>
          <cell r="D7" t="str">
            <v>コメント</v>
          </cell>
        </row>
      </sheetData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DC89DE1-F502-4E46-AC5B-7F7D1A6FFDB7}" name="テーブルにもコメント" displayName="テーブルにもコメント" ref="C3:F7" totalsRowShown="0" headerRowDxfId="24" headerRowBorderDxfId="23" tableBorderDxfId="22" totalsRowBorderDxfId="21">
  <autoFilter ref="C3:F7" xr:uid="{ADC89DE1-F502-4E46-AC5B-7F7D1A6FFDB7}">
    <filterColumn colId="0">
      <customFilters>
        <customFilter val="*さん"/>
      </customFilters>
    </filterColumn>
  </autoFilter>
  <tableColumns count="4">
    <tableColumn id="1" xr3:uid="{EB628F3A-2400-48F8-BDC0-A3F270B3A1BF}" name="項目" dataDxfId="20"/>
    <tableColumn id="2" xr3:uid="{C11F94EF-D549-4329-BBBC-2AAE0F188428}" name="年齢" dataDxfId="19"/>
    <tableColumn id="3" xr3:uid="{9496CB4E-A741-4278-AC0E-A4EFDB40700C}" name="身長" dataDxfId="18"/>
    <tableColumn id="4" xr3:uid="{52F27ED5-F934-4C57-8FD4-79FE7FBD3D30}" name="体重" dataDxfId="1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98F1467-B5C0-45E9-9731-BF63B820F640}" name="テーブル13" displayName="テーブル13" ref="C9:F13" totalsRowShown="0" headerRowDxfId="16" headerRowBorderDxfId="15" tableBorderDxfId="14" totalsRowBorderDxfId="13">
  <autoFilter ref="C9:F13" xr:uid="{298F1467-B5C0-45E9-9731-BF63B820F640}">
    <filterColumn colId="2">
      <colorFilter dxfId="12"/>
    </filterColumn>
  </autoFilter>
  <tableColumns count="4">
    <tableColumn id="1" xr3:uid="{0CCABA3F-2157-416D-8EE4-A210315E2BD2}" name="項目" dataDxfId="11"/>
    <tableColumn id="2" xr3:uid="{457613FF-3CFF-42B7-A94C-0F682FDE01D8}" name="年齢" dataDxfId="10"/>
    <tableColumn id="3" xr3:uid="{1685AE59-05E8-48FF-8ADA-45318DE43E58}" name="身長" dataDxfId="9"/>
    <tableColumn id="4" xr3:uid="{15ED615D-7779-4811-AB18-FD10F0B50C08}" name="体重" dataDxfId="8"/>
  </tableColumns>
  <tableStyleInfo name="TableStyleMedium2" showFirstColumn="0" showLastColumn="0" showRowStripes="1" showColumnStripes="0"/>
  <extLst>
    <ext xmlns:x14="http://schemas.microsoft.com/office/spreadsheetml/2009/9/main" uri="{504A1905-F514-4f6f-8877-14C23A59335A}">
      <x14:table altText="名前の代替テキストとしてコメント" altTextSummary="説明欄の文章にコメント"/>
    </ext>
  </extLst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2CBBA6A-157A-491C-94EC-31982D0AA2C2}" name="テーブル134" displayName="テーブル134" ref="C15:F19" totalsRowShown="0" headerRowDxfId="7" headerRowBorderDxfId="6" tableBorderDxfId="5" totalsRowBorderDxfId="4">
  <autoFilter ref="C15:F19" xr:uid="{92CBBA6A-157A-491C-94EC-31982D0AA2C2}">
    <filterColumn colId="2">
      <customFilters>
        <customFilter operator="greaterThan" val="160"/>
      </customFilters>
    </filterColumn>
  </autoFilter>
  <tableColumns count="4">
    <tableColumn id="1" xr3:uid="{8417F11B-2E25-46BB-ADB1-4603F07A4BCA}" name="項目" dataDxfId="3"/>
    <tableColumn id="2" xr3:uid="{802D61CE-FC2A-4FE1-8810-76D2D342971D}" name="年齢" dataDxfId="2"/>
    <tableColumn id="3" xr3:uid="{D1EAA0D0-FB95-4141-A943-06897A57AD53}" name="身長" dataDxfId="1"/>
    <tableColumn id="4" xr3:uid="{22E960BC-A427-42CE-92A7-7485F3A9B45D}" name="体重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hyperlink" Target="http://localhost:3000/issues/91" TargetMode="Externa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workbookViewId="0">
      <selection activeCell="E7" sqref="E7"/>
    </sheetView>
  </sheetViews>
  <sheetFormatPr defaultRowHeight="18.75"/>
  <sheetData/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006814-937F-4B8A-AE3C-B0873E8B780A}">
  <sheetPr codeName="Sheet4"/>
  <dimension ref="B2:E20"/>
  <sheetViews>
    <sheetView workbookViewId="0"/>
  </sheetViews>
  <sheetFormatPr defaultRowHeight="18.75"/>
  <cols>
    <col min="1" max="4" width="9" style="4"/>
    <col min="5" max="5" width="10.25" style="4" bestFit="1" customWidth="1"/>
    <col min="6" max="16384" width="9" style="4"/>
  </cols>
  <sheetData>
    <row r="2" spans="2:2">
      <c r="B2" s="6" t="s">
        <v>41</v>
      </c>
    </row>
    <row r="3" spans="2:2">
      <c r="B3" s="6" t="s">
        <v>42</v>
      </c>
    </row>
    <row r="4" spans="2:2">
      <c r="B4" s="6" t="s">
        <v>43</v>
      </c>
    </row>
    <row r="5" spans="2:2">
      <c r="B5" s="6" t="s">
        <v>44</v>
      </c>
    </row>
    <row r="6" spans="2:2">
      <c r="B6" s="6" t="s">
        <v>45</v>
      </c>
    </row>
    <row r="7" spans="2:2">
      <c r="B7" s="6" t="s">
        <v>46</v>
      </c>
    </row>
    <row r="17" spans="3:5">
      <c r="C17" s="61" t="s">
        <v>85</v>
      </c>
      <c r="D17" s="62"/>
      <c r="E17" s="62"/>
    </row>
    <row r="18" spans="3:5">
      <c r="C18" s="5" t="s">
        <v>79</v>
      </c>
      <c r="D18" s="5" t="s">
        <v>82</v>
      </c>
      <c r="E18" s="7">
        <v>46166</v>
      </c>
    </row>
    <row r="19" spans="3:5">
      <c r="C19" s="5" t="s">
        <v>80</v>
      </c>
      <c r="D19" s="5" t="s">
        <v>83</v>
      </c>
      <c r="E19" s="7">
        <v>46167</v>
      </c>
    </row>
    <row r="20" spans="3:5">
      <c r="C20" s="5" t="s">
        <v>81</v>
      </c>
      <c r="D20" s="5" t="s">
        <v>84</v>
      </c>
      <c r="E20" s="7">
        <v>46169</v>
      </c>
    </row>
  </sheetData>
  <mergeCells count="1">
    <mergeCell ref="C17:E17"/>
  </mergeCells>
  <phoneticPr fontId="1"/>
  <hyperlinks>
    <hyperlink ref="B2" location="TopLeft!A1" display="TopLeft!A1" xr:uid="{EE5A33AD-253D-47E5-ABEF-C0D900C24FD7}"/>
    <hyperlink ref="B3" location="テキストシート!A1" display="テキストシート!A1" xr:uid="{604F6B58-E159-4E44-AD82-42843F22B1F8}"/>
    <hyperlink ref="B4" location="Shapes!A1" display="Shapes!A1" xr:uid="{03DAF9D3-AF51-4F2F-995A-B54A4501B9C6}"/>
    <hyperlink ref="B5" location="表と式!A1" display="表と式!A1" xr:uid="{62FB57F3-3E6C-4C95-A5AB-D9DA0C615539}"/>
    <hyperlink ref="B6" location="シート名にコメントを!A1" display="シート名にコメントを!A1" xr:uid="{42653EEB-9CC6-4AA6-A02A-259F9BBCE92E}"/>
    <hyperlink ref="B7" location="表とグラフ!A1" display="表とグラフ!A1" xr:uid="{E3BE6443-9D61-4AF9-92D8-4B5DCEFF3B87}"/>
  </hyperlink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7950EB-378B-4675-B9AF-AD1F1AB7CF9E}">
  <sheetPr codeName="Sheet2"/>
  <dimension ref="A1:H16"/>
  <sheetViews>
    <sheetView showGridLines="0" topLeftCell="A2" zoomScale="145" zoomScaleNormal="145" workbookViewId="0">
      <selection activeCell="G19" sqref="G19"/>
    </sheetView>
  </sheetViews>
  <sheetFormatPr defaultRowHeight="18.75"/>
  <cols>
    <col min="5" max="5" width="15.5" bestFit="1" customWidth="1"/>
    <col min="6" max="6" width="0" hidden="1" customWidth="1"/>
  </cols>
  <sheetData>
    <row r="1" spans="1:8" hidden="1">
      <c r="A1" t="s">
        <v>1</v>
      </c>
    </row>
    <row r="2" spans="1:8">
      <c r="B2" t="s">
        <v>0</v>
      </c>
    </row>
    <row r="4" spans="1:8">
      <c r="E4">
        <v>1</v>
      </c>
      <c r="G4">
        <v>2</v>
      </c>
    </row>
    <row r="9" spans="1:8" hidden="1">
      <c r="A9" t="s">
        <v>2</v>
      </c>
    </row>
    <row r="10" spans="1:8">
      <c r="E10" s="1" t="s">
        <v>8</v>
      </c>
    </row>
    <row r="11" spans="1:8">
      <c r="E11" s="1" t="s">
        <v>9</v>
      </c>
    </row>
    <row r="12" spans="1:8">
      <c r="E12" s="2" t="s">
        <v>10</v>
      </c>
    </row>
    <row r="13" spans="1:8">
      <c r="E13" s="3" t="s">
        <v>11</v>
      </c>
    </row>
    <row r="14" spans="1:8">
      <c r="E14" t="s">
        <v>12</v>
      </c>
    </row>
    <row r="15" spans="1:8">
      <c r="E15" t="s">
        <v>13</v>
      </c>
    </row>
    <row r="16" spans="1:8">
      <c r="E16" t="s">
        <v>14</v>
      </c>
      <c r="H16" t="s">
        <v>7</v>
      </c>
    </row>
  </sheetData>
  <phoneticPr fontId="1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92502A-C802-4CA3-AE30-667588D7BA19}">
  <sheetPr codeName="Sheet3"/>
  <dimension ref="B2:D10"/>
  <sheetViews>
    <sheetView view="pageBreakPreview" zoomScale="145" zoomScaleNormal="100" zoomScaleSheetLayoutView="145" workbookViewId="0">
      <selection activeCell="E5" sqref="E5"/>
    </sheetView>
  </sheetViews>
  <sheetFormatPr defaultRowHeight="18.75"/>
  <cols>
    <col min="4" max="4" width="15.125" bestFit="1" customWidth="1"/>
  </cols>
  <sheetData>
    <row r="2" spans="2:4">
      <c r="B2" t="s">
        <v>3</v>
      </c>
    </row>
    <row r="4" spans="2:4">
      <c r="C4">
        <v>1.1000000000000001</v>
      </c>
      <c r="D4" t="s">
        <v>4</v>
      </c>
    </row>
    <row r="5" spans="2:4">
      <c r="C5">
        <v>1.2</v>
      </c>
      <c r="D5" t="s">
        <v>5</v>
      </c>
    </row>
    <row r="6" spans="2:4">
      <c r="C6">
        <v>1.3</v>
      </c>
      <c r="D6" t="s">
        <v>6</v>
      </c>
    </row>
    <row r="7" spans="2:4">
      <c r="C7">
        <v>1.4</v>
      </c>
      <c r="D7" s="2" t="s">
        <v>198</v>
      </c>
    </row>
    <row r="8" spans="2:4">
      <c r="C8">
        <v>1.5</v>
      </c>
      <c r="D8" t="s">
        <v>197</v>
      </c>
    </row>
    <row r="9" spans="2:4">
      <c r="C9">
        <v>1.6</v>
      </c>
      <c r="D9" s="29" t="s">
        <v>199</v>
      </c>
    </row>
    <row r="10" spans="2:4">
      <c r="C10">
        <v>1.7</v>
      </c>
      <c r="D10" s="82" t="s">
        <v>200</v>
      </c>
    </row>
  </sheetData>
  <phoneticPr fontId="1"/>
  <pageMargins left="0.7" right="0.7" top="0.75" bottom="0.75" header="0.3" footer="0.3"/>
  <pageSetup paperSize="9" orientation="portrait" r:id="rId1"/>
  <headerFooter>
    <oddHeader>&amp;Cヘッダーにコメントを書いてみた</oddHeader>
    <oddFooter>&amp;Cフッターにもコメントを書いてみた</oddFooter>
  </headerFooter>
  <colBreaks count="1" manualBreakCount="1">
    <brk id="6" max="10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ボタン1_Click">
                <anchor moveWithCells="1" sizeWithCells="1">
                  <from>
                    <xdr:col>8</xdr:col>
                    <xdr:colOff>533400</xdr:colOff>
                    <xdr:row>4</xdr:row>
                    <xdr:rowOff>123825</xdr:rowOff>
                  </from>
                  <to>
                    <xdr:col>10</xdr:col>
                    <xdr:colOff>571500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2DAA39-1F5C-45A1-A4DE-2A08FF592C31}">
  <sheetPr codeName="Sheet5"/>
  <dimension ref="K13"/>
  <sheetViews>
    <sheetView workbookViewId="0"/>
  </sheetViews>
  <sheetFormatPr defaultRowHeight="18.75"/>
  <sheetData>
    <row r="13" spans="11:11">
      <c r="K13" t="s">
        <v>7</v>
      </c>
    </row>
  </sheetData>
  <phoneticPr fontId="1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AAB4C4-0BB1-4EEE-B537-EF8911AA9B0A}">
  <sheetPr codeName="Sheet10"/>
  <dimension ref="G3:AZ33"/>
  <sheetViews>
    <sheetView view="pageBreakPreview" zoomScale="115" zoomScaleNormal="100" zoomScaleSheetLayoutView="115" workbookViewId="0">
      <selection activeCell="AU17" sqref="AU17"/>
    </sheetView>
  </sheetViews>
  <sheetFormatPr defaultColWidth="3.125" defaultRowHeight="18.75"/>
  <cols>
    <col min="1" max="16384" width="3.125" style="4"/>
  </cols>
  <sheetData>
    <row r="3" spans="7:52">
      <c r="G3" s="63" t="s">
        <v>86</v>
      </c>
      <c r="H3" s="63"/>
      <c r="I3" s="63"/>
      <c r="J3" s="63"/>
      <c r="K3" s="63"/>
      <c r="L3" s="63"/>
      <c r="Q3" s="63" t="s">
        <v>87</v>
      </c>
      <c r="R3" s="63"/>
      <c r="S3" s="63"/>
      <c r="T3" s="63"/>
      <c r="U3" s="63"/>
      <c r="V3" s="63"/>
      <c r="AA3" s="63" t="s">
        <v>88</v>
      </c>
      <c r="AB3" s="63"/>
      <c r="AC3" s="63"/>
      <c r="AD3" s="63"/>
      <c r="AE3" s="63"/>
      <c r="AF3" s="63"/>
      <c r="AK3" s="63" t="s">
        <v>89</v>
      </c>
      <c r="AL3" s="63"/>
      <c r="AM3" s="63"/>
      <c r="AN3" s="63"/>
      <c r="AO3" s="63"/>
      <c r="AP3" s="63"/>
      <c r="AU3" s="63" t="s">
        <v>90</v>
      </c>
      <c r="AV3" s="63"/>
      <c r="AW3" s="63"/>
      <c r="AX3" s="63"/>
      <c r="AY3" s="63"/>
      <c r="AZ3" s="63"/>
    </row>
    <row r="4" spans="7:52">
      <c r="I4" s="8"/>
      <c r="S4" s="9"/>
      <c r="AC4" s="9"/>
      <c r="AM4" s="9"/>
      <c r="AW4" s="8"/>
    </row>
    <row r="5" spans="7:52">
      <c r="I5" s="9"/>
      <c r="S5" s="9"/>
      <c r="AC5" s="9"/>
      <c r="AM5" s="9"/>
      <c r="AW5" s="9"/>
    </row>
    <row r="6" spans="7:52">
      <c r="I6" s="9"/>
      <c r="S6" s="9"/>
      <c r="AC6" s="9"/>
      <c r="AM6" s="9"/>
      <c r="AW6" s="9"/>
    </row>
    <row r="7" spans="7:52">
      <c r="I7" s="9"/>
      <c r="S7" s="9"/>
      <c r="AC7" s="9"/>
      <c r="AM7" s="9"/>
      <c r="AW7" s="9"/>
    </row>
    <row r="8" spans="7:52">
      <c r="I8" s="9"/>
      <c r="S8" s="9"/>
      <c r="AC8" s="9"/>
      <c r="AM8" s="9"/>
      <c r="AW8" s="9"/>
    </row>
    <row r="9" spans="7:52">
      <c r="I9" s="9"/>
      <c r="K9" s="4" t="s">
        <v>91</v>
      </c>
      <c r="S9" s="9"/>
      <c r="AC9" s="9"/>
      <c r="AM9" s="9"/>
      <c r="AW9" s="9"/>
    </row>
    <row r="10" spans="7:52">
      <c r="I10" s="9"/>
      <c r="S10" s="9"/>
      <c r="U10" s="4" t="s">
        <v>92</v>
      </c>
      <c r="AC10" s="9"/>
      <c r="AM10" s="9"/>
      <c r="AW10" s="9"/>
    </row>
    <row r="11" spans="7:52">
      <c r="I11" s="9"/>
      <c r="S11" s="9"/>
      <c r="AC11" s="9"/>
      <c r="AE11" s="4" t="s">
        <v>93</v>
      </c>
      <c r="AM11" s="9"/>
      <c r="AW11" s="9"/>
    </row>
    <row r="12" spans="7:52">
      <c r="I12" s="9"/>
      <c r="S12" s="9"/>
      <c r="AC12" s="9"/>
      <c r="AM12" s="9"/>
      <c r="AO12" s="4" t="s">
        <v>94</v>
      </c>
      <c r="AW12" s="9"/>
    </row>
    <row r="13" spans="7:52">
      <c r="I13" s="9"/>
      <c r="S13" s="9"/>
      <c r="AC13" s="9"/>
      <c r="AM13" s="9"/>
      <c r="AW13" s="9"/>
    </row>
    <row r="14" spans="7:52">
      <c r="I14" s="9"/>
      <c r="S14" s="9"/>
      <c r="AC14" s="9"/>
      <c r="AM14" s="9"/>
      <c r="AW14" s="9"/>
    </row>
    <row r="15" spans="7:52">
      <c r="I15" s="9"/>
      <c r="S15" s="9"/>
      <c r="AC15" s="9"/>
      <c r="AM15" s="9"/>
      <c r="AW15" s="9"/>
    </row>
    <row r="16" spans="7:52">
      <c r="I16" s="9"/>
      <c r="S16" s="9"/>
      <c r="AC16" s="9"/>
      <c r="AM16" s="9"/>
      <c r="AW16" s="9"/>
    </row>
    <row r="17" spans="9:49">
      <c r="I17" s="9"/>
      <c r="S17" s="9"/>
      <c r="AC17" s="9"/>
      <c r="AM17" s="9"/>
      <c r="AW17" s="9"/>
    </row>
    <row r="18" spans="9:49">
      <c r="I18" s="9"/>
      <c r="S18" s="9"/>
      <c r="AC18" s="9"/>
      <c r="AM18" s="9"/>
      <c r="AW18" s="9"/>
    </row>
    <row r="19" spans="9:49">
      <c r="I19" s="9"/>
      <c r="S19" s="9"/>
      <c r="AC19" s="9"/>
      <c r="AM19" s="9"/>
      <c r="AW19" s="9"/>
    </row>
    <row r="20" spans="9:49">
      <c r="I20" s="9"/>
      <c r="S20" s="9"/>
      <c r="AC20" s="9"/>
      <c r="AM20" s="9"/>
      <c r="AW20" s="9"/>
    </row>
    <row r="21" spans="9:49">
      <c r="I21" s="9"/>
      <c r="S21" s="9"/>
      <c r="AC21" s="9"/>
      <c r="AM21" s="9"/>
      <c r="AW21" s="9"/>
    </row>
    <row r="22" spans="9:49">
      <c r="I22" s="9"/>
      <c r="S22" s="9"/>
      <c r="AC22" s="9"/>
      <c r="AM22" s="9"/>
      <c r="AW22" s="9"/>
    </row>
    <row r="23" spans="9:49">
      <c r="I23" s="9"/>
      <c r="S23" s="9"/>
      <c r="AC23" s="9"/>
      <c r="AM23" s="9"/>
      <c r="AW23" s="9"/>
    </row>
    <row r="24" spans="9:49">
      <c r="I24" s="9"/>
      <c r="S24" s="9"/>
      <c r="AC24" s="9"/>
      <c r="AM24" s="9"/>
      <c r="AW24" s="9"/>
    </row>
    <row r="25" spans="9:49">
      <c r="I25" s="9"/>
      <c r="S25" s="9"/>
      <c r="AC25" s="9"/>
      <c r="AM25" s="9"/>
      <c r="AW25" s="9"/>
    </row>
    <row r="26" spans="9:49">
      <c r="I26" s="9"/>
      <c r="S26" s="9"/>
      <c r="AC26" s="9"/>
      <c r="AM26" s="9"/>
      <c r="AW26" s="9"/>
    </row>
    <row r="27" spans="9:49">
      <c r="I27" s="9"/>
      <c r="S27" s="9"/>
      <c r="AC27" s="9"/>
      <c r="AM27" s="9"/>
      <c r="AW27" s="9"/>
    </row>
    <row r="28" spans="9:49">
      <c r="I28" s="9"/>
      <c r="S28" s="9"/>
      <c r="AC28" s="9"/>
      <c r="AM28" s="9"/>
      <c r="AW28" s="9"/>
    </row>
    <row r="29" spans="9:49">
      <c r="I29" s="9"/>
      <c r="S29" s="9"/>
      <c r="AC29" s="9"/>
      <c r="AM29" s="9"/>
      <c r="AW29" s="9"/>
    </row>
    <row r="30" spans="9:49">
      <c r="I30" s="9"/>
      <c r="S30" s="9"/>
      <c r="AC30" s="9"/>
      <c r="AM30" s="9"/>
      <c r="AW30" s="9"/>
    </row>
    <row r="31" spans="9:49">
      <c r="I31" s="9"/>
      <c r="S31" s="9"/>
      <c r="AC31" s="9"/>
      <c r="AM31" s="9"/>
      <c r="AW31" s="9"/>
    </row>
    <row r="32" spans="9:49">
      <c r="I32" s="9"/>
      <c r="S32" s="9"/>
      <c r="AC32" s="9"/>
      <c r="AM32" s="9"/>
      <c r="AW32" s="9"/>
    </row>
    <row r="33" spans="9:49">
      <c r="I33" s="9"/>
      <c r="S33" s="9"/>
      <c r="AC33" s="9"/>
      <c r="AM33" s="9"/>
      <c r="AW33" s="9"/>
    </row>
  </sheetData>
  <mergeCells count="5">
    <mergeCell ref="G3:L3"/>
    <mergeCell ref="Q3:V3"/>
    <mergeCell ref="AA3:AF3"/>
    <mergeCell ref="AK3:AP3"/>
    <mergeCell ref="AU3:AZ3"/>
  </mergeCells>
  <phoneticPr fontId="1"/>
  <pageMargins left="0.7" right="0.7" top="0.75" bottom="0.75" header="0.3" footer="0.3"/>
  <pageSetup paperSize="9" scale="46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6C0B99-47E8-42F3-BB17-993DD45411B7}">
  <sheetPr codeName="Sheet6"/>
  <dimension ref="C3:H19"/>
  <sheetViews>
    <sheetView workbookViewId="0">
      <selection activeCell="J8" sqref="J8"/>
    </sheetView>
  </sheetViews>
  <sheetFormatPr defaultRowHeight="18.75"/>
  <cols>
    <col min="1" max="2" width="9" style="4"/>
    <col min="3" max="3" width="9.375" style="4" bestFit="1" customWidth="1"/>
    <col min="4" max="5" width="9" style="4"/>
    <col min="6" max="6" width="10.375" style="4" customWidth="1"/>
    <col min="7" max="7" width="15" style="4" bestFit="1" customWidth="1"/>
    <col min="8" max="16384" width="9" style="4"/>
  </cols>
  <sheetData>
    <row r="3" spans="3:8">
      <c r="C3" s="5" t="s">
        <v>15</v>
      </c>
      <c r="D3" s="5" t="s">
        <v>16</v>
      </c>
      <c r="E3" s="5" t="s">
        <v>17</v>
      </c>
      <c r="F3" s="5" t="s">
        <v>18</v>
      </c>
      <c r="G3" s="5" t="s">
        <v>19</v>
      </c>
      <c r="H3" s="5" t="s">
        <v>20</v>
      </c>
    </row>
    <row r="4" spans="3:8">
      <c r="C4" s="5">
        <f>ROW()-3</f>
        <v>1</v>
      </c>
      <c r="D4" s="5" t="s">
        <v>22</v>
      </c>
      <c r="E4" s="5">
        <v>1</v>
      </c>
      <c r="F4" s="5">
        <v>2</v>
      </c>
      <c r="G4" s="5" t="s">
        <v>21</v>
      </c>
      <c r="H4" s="5">
        <f>SUM(E4,F4)</f>
        <v>3</v>
      </c>
    </row>
    <row r="5" spans="3:8">
      <c r="C5" s="5">
        <f t="shared" ref="C5:C6" si="0">ROW()-3</f>
        <v>2</v>
      </c>
      <c r="D5" s="5" t="s">
        <v>23</v>
      </c>
      <c r="E5" s="5">
        <v>3</v>
      </c>
      <c r="F5" s="5">
        <v>4</v>
      </c>
      <c r="G5" s="5" t="s">
        <v>24</v>
      </c>
      <c r="H5" s="5">
        <f>E5*F5</f>
        <v>12</v>
      </c>
    </row>
    <row r="6" spans="3:8">
      <c r="C6" s="5">
        <f t="shared" si="0"/>
        <v>3</v>
      </c>
      <c r="D6" s="5" t="s">
        <v>25</v>
      </c>
      <c r="E6" s="5">
        <v>2</v>
      </c>
      <c r="F6" s="5">
        <v>8</v>
      </c>
      <c r="G6" s="5" t="s">
        <v>40</v>
      </c>
      <c r="H6" s="5">
        <f>POWER(E6,F6)</f>
        <v>256</v>
      </c>
    </row>
    <row r="9" spans="3:8">
      <c r="C9" s="4" t="s">
        <v>35</v>
      </c>
    </row>
    <row r="10" spans="3:8">
      <c r="C10" s="4" t="s">
        <v>36</v>
      </c>
    </row>
    <row r="11" spans="3:8">
      <c r="C11" s="4" t="s">
        <v>37</v>
      </c>
    </row>
    <row r="12" spans="3:8">
      <c r="C12" s="4" t="s">
        <v>38</v>
      </c>
    </row>
    <row r="13" spans="3:8">
      <c r="C13" s="4" t="str">
        <f>C9&amp;C10&amp;C11&amp;C12</f>
        <v>コメント</v>
      </c>
      <c r="D13" s="4" t="s">
        <v>39</v>
      </c>
      <c r="H13" s="4" t="str">
        <f>IF(C13="コメント","〇","×")</f>
        <v>〇</v>
      </c>
    </row>
    <row r="14" spans="3:8">
      <c r="C14" s="4" t="s">
        <v>95</v>
      </c>
      <c r="H14" s="4" t="str">
        <f t="shared" ref="H14:H17" si="1">IF(C14="コメント","〇","×")</f>
        <v>×</v>
      </c>
    </row>
    <row r="15" spans="3:8">
      <c r="C15" s="4" t="s">
        <v>96</v>
      </c>
      <c r="H15" s="4" t="str">
        <f t="shared" si="1"/>
        <v>×</v>
      </c>
    </row>
    <row r="16" spans="3:8">
      <c r="C16" s="4" t="s">
        <v>97</v>
      </c>
      <c r="H16" s="4" t="str">
        <f t="shared" si="1"/>
        <v>×</v>
      </c>
    </row>
    <row r="17" spans="3:8">
      <c r="C17" s="4" t="s">
        <v>98</v>
      </c>
      <c r="H17" s="4" t="str">
        <f t="shared" si="1"/>
        <v>×</v>
      </c>
    </row>
    <row r="18" spans="3:8">
      <c r="C18" s="4" t="s">
        <v>99</v>
      </c>
      <c r="H18" s="4" t="str">
        <f>IF(C18="コメント","〇","×")</f>
        <v>×</v>
      </c>
    </row>
    <row r="19" spans="3:8">
      <c r="C19" s="4" t="s">
        <v>7</v>
      </c>
      <c r="H19" s="4" t="str">
        <f>IF(C19="コメント","〇","×")</f>
        <v>〇</v>
      </c>
    </row>
  </sheetData>
  <phoneticPr fontId="1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C915ED-D801-4AAF-8B6A-9368F5FF5D90}">
  <sheetPr codeName="Sheet7"/>
  <dimension ref="B2:E10"/>
  <sheetViews>
    <sheetView workbookViewId="0">
      <selection activeCell="E6" sqref="E6"/>
    </sheetView>
  </sheetViews>
  <sheetFormatPr defaultRowHeight="18.75"/>
  <cols>
    <col min="5" max="5" width="10" bestFit="1" customWidth="1"/>
  </cols>
  <sheetData>
    <row r="2" spans="2:5">
      <c r="B2" t="s">
        <v>26</v>
      </c>
    </row>
    <row r="6" spans="2:5">
      <c r="E6" s="36">
        <v>1</v>
      </c>
    </row>
    <row r="7" spans="2:5">
      <c r="E7" s="36">
        <v>2</v>
      </c>
    </row>
    <row r="8" spans="2:5">
      <c r="E8" s="36">
        <v>3</v>
      </c>
    </row>
    <row r="9" spans="2:5">
      <c r="E9" s="36">
        <v>4</v>
      </c>
    </row>
    <row r="10" spans="2:5">
      <c r="E10" s="36">
        <v>5</v>
      </c>
    </row>
  </sheetData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F6A19C-C16C-4EE1-B73D-766618CD9B21}">
  <dimension ref="B2:M28"/>
  <sheetViews>
    <sheetView showGridLines="0" zoomScale="160" zoomScaleNormal="160" workbookViewId="0"/>
  </sheetViews>
  <sheetFormatPr defaultRowHeight="18.75"/>
  <cols>
    <col min="6" max="6" width="15.125" bestFit="1" customWidth="1"/>
    <col min="8" max="24" width="3.125" customWidth="1"/>
  </cols>
  <sheetData>
    <row r="2" spans="2:11" ht="19.5" thickBot="1">
      <c r="B2" s="10" t="s">
        <v>172</v>
      </c>
      <c r="D2" s="42" t="s">
        <v>178</v>
      </c>
      <c r="F2" s="48" t="s">
        <v>184</v>
      </c>
      <c r="I2" s="10"/>
      <c r="J2" s="10"/>
      <c r="K2" t="s">
        <v>189</v>
      </c>
    </row>
    <row r="3" spans="2:11" ht="19.5" thickBot="1">
      <c r="I3" s="10"/>
      <c r="J3" s="10"/>
    </row>
    <row r="4" spans="2:11" ht="20.25" thickTop="1" thickBot="1">
      <c r="B4" s="37" t="s">
        <v>173</v>
      </c>
      <c r="D4" s="43" t="s">
        <v>179</v>
      </c>
      <c r="F4" s="49" t="s">
        <v>185</v>
      </c>
    </row>
    <row r="5" spans="2:11">
      <c r="I5" s="53"/>
      <c r="J5" s="54"/>
      <c r="K5" t="s">
        <v>190</v>
      </c>
    </row>
    <row r="6" spans="2:11" ht="19.5" thickBot="1">
      <c r="B6" s="38" t="s">
        <v>174</v>
      </c>
      <c r="D6" s="44" t="s">
        <v>180</v>
      </c>
      <c r="F6" s="50" t="s">
        <v>186</v>
      </c>
      <c r="I6" s="34"/>
      <c r="J6" s="35"/>
    </row>
    <row r="7" spans="2:11" ht="19.5" thickTop="1"/>
    <row r="8" spans="2:11" ht="19.5" thickBot="1">
      <c r="B8" s="39" t="s">
        <v>175</v>
      </c>
      <c r="D8" s="45" t="s">
        <v>181</v>
      </c>
      <c r="F8" s="51" t="s">
        <v>187</v>
      </c>
      <c r="I8" s="64"/>
      <c r="J8" s="65"/>
      <c r="K8" t="s">
        <v>191</v>
      </c>
    </row>
    <row r="9" spans="2:11">
      <c r="I9" s="66"/>
      <c r="J9" s="67"/>
    </row>
    <row r="10" spans="2:11" ht="19.5" thickBot="1">
      <c r="B10" s="40" t="s">
        <v>176</v>
      </c>
      <c r="D10" s="46" t="s">
        <v>182</v>
      </c>
      <c r="F10" s="52" t="s">
        <v>188</v>
      </c>
    </row>
    <row r="11" spans="2:11">
      <c r="I11" s="55"/>
      <c r="J11" s="55"/>
      <c r="K11" t="s">
        <v>192</v>
      </c>
    </row>
    <row r="12" spans="2:11" ht="19.5" thickBot="1">
      <c r="B12" s="41" t="s">
        <v>177</v>
      </c>
      <c r="D12" s="47" t="s">
        <v>183</v>
      </c>
      <c r="I12" s="55"/>
      <c r="J12" s="55"/>
    </row>
    <row r="14" spans="2:11">
      <c r="I14" s="68"/>
      <c r="J14" s="69"/>
      <c r="K14" t="s">
        <v>193</v>
      </c>
    </row>
    <row r="15" spans="2:11">
      <c r="I15" s="70"/>
      <c r="J15" s="71"/>
    </row>
    <row r="18" spans="9:13">
      <c r="J18" s="10"/>
    </row>
    <row r="19" spans="9:13">
      <c r="I19" s="10"/>
      <c r="K19" s="10"/>
      <c r="M19" t="s">
        <v>194</v>
      </c>
    </row>
    <row r="20" spans="9:13">
      <c r="J20" s="10"/>
    </row>
    <row r="22" spans="9:13">
      <c r="J22" s="10"/>
    </row>
    <row r="23" spans="9:13">
      <c r="I23" s="10"/>
      <c r="J23" s="10"/>
      <c r="K23" s="10"/>
      <c r="M23" t="s">
        <v>195</v>
      </c>
    </row>
    <row r="24" spans="9:13">
      <c r="J24" s="10"/>
    </row>
    <row r="26" spans="9:13" ht="19.5" thickBot="1">
      <c r="J26" s="59"/>
    </row>
    <row r="27" spans="9:13" ht="19.5" thickBot="1">
      <c r="I27" s="58"/>
      <c r="J27" s="37"/>
      <c r="K27" s="57"/>
      <c r="M27" t="s">
        <v>196</v>
      </c>
    </row>
    <row r="28" spans="9:13">
      <c r="J28" s="60"/>
    </row>
  </sheetData>
  <mergeCells count="2">
    <mergeCell ref="I8:J9"/>
    <mergeCell ref="I14:J15"/>
  </mergeCells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567BD5-8086-4EE1-A108-B150F8F80B6D}">
  <sheetPr codeName="Sheet8"/>
  <dimension ref="C3:F7"/>
  <sheetViews>
    <sheetView workbookViewId="0">
      <selection activeCell="G6" sqref="G6"/>
    </sheetView>
  </sheetViews>
  <sheetFormatPr defaultRowHeight="18.75"/>
  <cols>
    <col min="1" max="16384" width="9" style="4"/>
  </cols>
  <sheetData>
    <row r="3" spans="3:6">
      <c r="C3" s="5" t="s">
        <v>27</v>
      </c>
      <c r="D3" s="5" t="s">
        <v>34</v>
      </c>
      <c r="E3" s="5" t="s">
        <v>32</v>
      </c>
      <c r="F3" s="5" t="s">
        <v>33</v>
      </c>
    </row>
    <row r="4" spans="3:6">
      <c r="C4" s="5" t="s">
        <v>28</v>
      </c>
      <c r="D4" s="31">
        <v>33</v>
      </c>
      <c r="E4" s="32">
        <v>178</v>
      </c>
      <c r="F4" s="33">
        <v>75</v>
      </c>
    </row>
    <row r="5" spans="3:6">
      <c r="C5" s="5" t="s">
        <v>29</v>
      </c>
      <c r="D5" s="31">
        <v>24</v>
      </c>
      <c r="E5" s="32">
        <v>155</v>
      </c>
      <c r="F5" s="33">
        <v>58</v>
      </c>
    </row>
    <row r="6" spans="3:6">
      <c r="C6" s="5" t="s">
        <v>30</v>
      </c>
      <c r="D6" s="31">
        <v>45</v>
      </c>
      <c r="E6" s="32">
        <v>167</v>
      </c>
      <c r="F6" s="33">
        <v>55</v>
      </c>
    </row>
    <row r="7" spans="3:6">
      <c r="C7" s="5" t="s">
        <v>31</v>
      </c>
      <c r="D7" s="31">
        <v>57</v>
      </c>
      <c r="E7" s="32">
        <v>160</v>
      </c>
      <c r="F7" s="33">
        <v>48</v>
      </c>
    </row>
  </sheetData>
  <phoneticPr fontId="1"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3DCB24-7CF4-4390-AA97-B8F49B81BB49}">
  <sheetPr codeName="Sheet9"/>
  <dimension ref="C4:AA21"/>
  <sheetViews>
    <sheetView view="pageBreakPreview" zoomScaleNormal="100" zoomScaleSheetLayoutView="100" workbookViewId="0"/>
  </sheetViews>
  <sheetFormatPr defaultColWidth="3.25" defaultRowHeight="18.75"/>
  <cols>
    <col min="1" max="2" width="3.25" style="4"/>
    <col min="3" max="3" width="4.5" style="4" bestFit="1" customWidth="1"/>
    <col min="4" max="7" width="3.25" style="4"/>
    <col min="8" max="8" width="9.5" style="4" bestFit="1" customWidth="1"/>
    <col min="9" max="16384" width="3.25" style="4"/>
  </cols>
  <sheetData>
    <row r="4" spans="3:27">
      <c r="C4" s="5" t="s">
        <v>15</v>
      </c>
      <c r="D4" s="61" t="s">
        <v>27</v>
      </c>
      <c r="E4" s="62"/>
      <c r="F4" s="62"/>
      <c r="G4" s="62"/>
      <c r="H4" s="72" t="s">
        <v>47</v>
      </c>
      <c r="I4" s="75"/>
      <c r="J4" s="75"/>
      <c r="K4" s="75"/>
      <c r="L4" s="75"/>
      <c r="M4" s="75"/>
      <c r="N4" s="75"/>
      <c r="O4" s="76"/>
      <c r="P4" s="72" t="s">
        <v>48</v>
      </c>
      <c r="Q4" s="73"/>
      <c r="R4" s="73"/>
      <c r="S4" s="74"/>
      <c r="T4" s="72" t="s">
        <v>49</v>
      </c>
      <c r="U4" s="73"/>
      <c r="V4" s="73"/>
      <c r="W4" s="74"/>
      <c r="AA4" s="4" t="s">
        <v>54</v>
      </c>
    </row>
    <row r="5" spans="3:27">
      <c r="C5" s="5">
        <f>ROW()-4</f>
        <v>1</v>
      </c>
      <c r="D5" s="61" t="s">
        <v>50</v>
      </c>
      <c r="E5" s="62"/>
      <c r="F5" s="62"/>
      <c r="G5" s="62"/>
      <c r="H5" s="72" t="s">
        <v>67</v>
      </c>
      <c r="I5" s="75"/>
      <c r="J5" s="75"/>
      <c r="K5" s="75"/>
      <c r="L5" s="75"/>
      <c r="M5" s="75"/>
      <c r="N5" s="75"/>
      <c r="O5" s="76"/>
      <c r="P5" s="72" t="s">
        <v>55</v>
      </c>
      <c r="Q5" s="73"/>
      <c r="R5" s="73"/>
      <c r="S5" s="74"/>
      <c r="T5" s="72" t="s">
        <v>64</v>
      </c>
      <c r="U5" s="73"/>
      <c r="V5" s="73"/>
      <c r="W5" s="74"/>
      <c r="AA5" s="4" t="s">
        <v>56</v>
      </c>
    </row>
    <row r="6" spans="3:27">
      <c r="C6" s="5">
        <f t="shared" ref="C6:C15" si="0">ROW()-4</f>
        <v>2</v>
      </c>
      <c r="D6" s="61" t="s">
        <v>51</v>
      </c>
      <c r="E6" s="62"/>
      <c r="F6" s="62"/>
      <c r="G6" s="62"/>
      <c r="H6" s="72" t="s">
        <v>66</v>
      </c>
      <c r="I6" s="75"/>
      <c r="J6" s="75"/>
      <c r="K6" s="75"/>
      <c r="L6" s="75"/>
      <c r="M6" s="75"/>
      <c r="N6" s="75"/>
      <c r="O6" s="76"/>
      <c r="P6" s="72" t="s">
        <v>53</v>
      </c>
      <c r="Q6" s="73"/>
      <c r="R6" s="73"/>
      <c r="S6" s="74"/>
      <c r="T6" s="72" t="s">
        <v>63</v>
      </c>
      <c r="U6" s="73"/>
      <c r="V6" s="73"/>
      <c r="W6" s="74"/>
      <c r="AA6" s="4" t="s">
        <v>58</v>
      </c>
    </row>
    <row r="7" spans="3:27">
      <c r="C7" s="5">
        <f t="shared" si="0"/>
        <v>3</v>
      </c>
      <c r="D7" s="61" t="s">
        <v>51</v>
      </c>
      <c r="E7" s="62"/>
      <c r="F7" s="62"/>
      <c r="G7" s="62"/>
      <c r="H7" s="72" t="s">
        <v>68</v>
      </c>
      <c r="I7" s="75"/>
      <c r="J7" s="75"/>
      <c r="K7" s="75"/>
      <c r="L7" s="75"/>
      <c r="M7" s="75"/>
      <c r="N7" s="75"/>
      <c r="O7" s="76"/>
      <c r="P7" s="72" t="s">
        <v>57</v>
      </c>
      <c r="Q7" s="73"/>
      <c r="R7" s="73"/>
      <c r="S7" s="74"/>
      <c r="T7" s="77" t="s">
        <v>78</v>
      </c>
      <c r="U7" s="78"/>
      <c r="V7" s="78"/>
      <c r="W7" s="79"/>
    </row>
    <row r="8" spans="3:27">
      <c r="C8" s="5">
        <f t="shared" si="0"/>
        <v>4</v>
      </c>
      <c r="D8" s="61" t="s">
        <v>52</v>
      </c>
      <c r="E8" s="62"/>
      <c r="F8" s="62"/>
      <c r="G8" s="62"/>
      <c r="H8" s="72" t="s">
        <v>69</v>
      </c>
      <c r="I8" s="75"/>
      <c r="J8" s="75"/>
      <c r="K8" s="75"/>
      <c r="L8" s="75"/>
      <c r="M8" s="75"/>
      <c r="N8" s="75"/>
      <c r="O8" s="76"/>
      <c r="P8" s="72" t="s">
        <v>57</v>
      </c>
      <c r="Q8" s="73"/>
      <c r="R8" s="73"/>
      <c r="S8" s="74"/>
      <c r="T8" s="66"/>
      <c r="U8" s="80"/>
      <c r="V8" s="80"/>
      <c r="W8" s="67"/>
    </row>
    <row r="9" spans="3:27">
      <c r="C9" s="5">
        <f t="shared" si="0"/>
        <v>5</v>
      </c>
      <c r="D9" s="61" t="s">
        <v>50</v>
      </c>
      <c r="E9" s="62"/>
      <c r="F9" s="62"/>
      <c r="G9" s="62"/>
      <c r="H9" s="72" t="s">
        <v>70</v>
      </c>
      <c r="I9" s="75"/>
      <c r="J9" s="75"/>
      <c r="K9" s="75"/>
      <c r="L9" s="75"/>
      <c r="M9" s="75"/>
      <c r="N9" s="75"/>
      <c r="O9" s="76"/>
      <c r="P9" s="72" t="s">
        <v>53</v>
      </c>
      <c r="Q9" s="73"/>
      <c r="R9" s="73"/>
      <c r="S9" s="74"/>
      <c r="T9" s="72" t="s">
        <v>62</v>
      </c>
      <c r="U9" s="73"/>
      <c r="V9" s="73"/>
      <c r="W9" s="74"/>
    </row>
    <row r="10" spans="3:27">
      <c r="C10" s="5">
        <f t="shared" si="0"/>
        <v>6</v>
      </c>
      <c r="D10" s="61" t="s">
        <v>51</v>
      </c>
      <c r="E10" s="62"/>
      <c r="F10" s="62"/>
      <c r="G10" s="62"/>
      <c r="H10" s="72" t="s">
        <v>71</v>
      </c>
      <c r="I10" s="75"/>
      <c r="J10" s="75"/>
      <c r="K10" s="75"/>
      <c r="L10" s="75"/>
      <c r="M10" s="75"/>
      <c r="N10" s="75"/>
      <c r="O10" s="76"/>
      <c r="P10" s="72" t="s">
        <v>55</v>
      </c>
      <c r="Q10" s="73"/>
      <c r="R10" s="73"/>
      <c r="S10" s="74"/>
      <c r="T10" s="72" t="s">
        <v>65</v>
      </c>
      <c r="U10" s="73"/>
      <c r="V10" s="73"/>
      <c r="W10" s="74"/>
    </row>
    <row r="11" spans="3:27">
      <c r="C11" s="5">
        <f t="shared" si="0"/>
        <v>7</v>
      </c>
      <c r="D11" s="61" t="s">
        <v>50</v>
      </c>
      <c r="E11" s="62"/>
      <c r="F11" s="62"/>
      <c r="G11" s="62"/>
      <c r="H11" s="72" t="s">
        <v>72</v>
      </c>
      <c r="I11" s="75"/>
      <c r="J11" s="75"/>
      <c r="K11" s="75"/>
      <c r="L11" s="75"/>
      <c r="M11" s="75"/>
      <c r="N11" s="75"/>
      <c r="O11" s="76"/>
      <c r="P11" s="72" t="s">
        <v>55</v>
      </c>
      <c r="Q11" s="73"/>
      <c r="R11" s="73"/>
      <c r="S11" s="74"/>
      <c r="T11" s="72"/>
      <c r="U11" s="73"/>
      <c r="V11" s="73"/>
      <c r="W11" s="74"/>
    </row>
    <row r="12" spans="3:27">
      <c r="C12" s="5">
        <f t="shared" si="0"/>
        <v>8</v>
      </c>
      <c r="D12" s="61" t="s">
        <v>52</v>
      </c>
      <c r="E12" s="62"/>
      <c r="F12" s="62"/>
      <c r="G12" s="62"/>
      <c r="H12" s="72" t="s">
        <v>73</v>
      </c>
      <c r="I12" s="75"/>
      <c r="J12" s="75"/>
      <c r="K12" s="75"/>
      <c r="L12" s="75"/>
      <c r="M12" s="75"/>
      <c r="N12" s="75"/>
      <c r="O12" s="76"/>
      <c r="P12" s="72" t="s">
        <v>57</v>
      </c>
      <c r="Q12" s="73"/>
      <c r="R12" s="73"/>
      <c r="S12" s="74"/>
      <c r="T12" s="72" t="s">
        <v>59</v>
      </c>
      <c r="U12" s="73"/>
      <c r="V12" s="73"/>
      <c r="W12" s="74"/>
    </row>
    <row r="13" spans="3:27">
      <c r="C13" s="5">
        <f t="shared" si="0"/>
        <v>9</v>
      </c>
      <c r="D13" s="61" t="s">
        <v>51</v>
      </c>
      <c r="E13" s="62"/>
      <c r="F13" s="62"/>
      <c r="G13" s="62"/>
      <c r="H13" s="72" t="s">
        <v>74</v>
      </c>
      <c r="I13" s="75"/>
      <c r="J13" s="75"/>
      <c r="K13" s="75"/>
      <c r="L13" s="75"/>
      <c r="M13" s="75"/>
      <c r="N13" s="75"/>
      <c r="O13" s="76"/>
      <c r="P13" s="72" t="s">
        <v>53</v>
      </c>
      <c r="Q13" s="73"/>
      <c r="R13" s="73"/>
      <c r="S13" s="74"/>
      <c r="T13" s="72"/>
      <c r="U13" s="73"/>
      <c r="V13" s="73"/>
      <c r="W13" s="74"/>
    </row>
    <row r="14" spans="3:27">
      <c r="C14" s="5">
        <f t="shared" si="0"/>
        <v>10</v>
      </c>
      <c r="D14" s="61"/>
      <c r="E14" s="62"/>
      <c r="F14" s="62"/>
      <c r="G14" s="62"/>
      <c r="H14" s="72" t="s">
        <v>75</v>
      </c>
      <c r="I14" s="75"/>
      <c r="J14" s="75"/>
      <c r="K14" s="75"/>
      <c r="L14" s="75"/>
      <c r="M14" s="75"/>
      <c r="N14" s="75"/>
      <c r="O14" s="76"/>
      <c r="P14" s="72" t="s">
        <v>53</v>
      </c>
      <c r="Q14" s="73"/>
      <c r="R14" s="73"/>
      <c r="S14" s="74"/>
      <c r="T14" s="72" t="s">
        <v>61</v>
      </c>
      <c r="U14" s="73"/>
      <c r="V14" s="73"/>
      <c r="W14" s="74"/>
    </row>
    <row r="15" spans="3:27">
      <c r="C15" s="5">
        <f t="shared" si="0"/>
        <v>11</v>
      </c>
      <c r="D15" s="61" t="s">
        <v>50</v>
      </c>
      <c r="E15" s="62"/>
      <c r="F15" s="62"/>
      <c r="G15" s="62"/>
      <c r="H15" s="72" t="s">
        <v>76</v>
      </c>
      <c r="I15" s="75"/>
      <c r="J15" s="75"/>
      <c r="K15" s="75"/>
      <c r="L15" s="75"/>
      <c r="M15" s="75"/>
      <c r="N15" s="75"/>
      <c r="O15" s="76"/>
      <c r="P15" s="72" t="s">
        <v>57</v>
      </c>
      <c r="Q15" s="73"/>
      <c r="R15" s="73"/>
      <c r="S15" s="74"/>
      <c r="T15" s="72" t="s">
        <v>60</v>
      </c>
      <c r="U15" s="73"/>
      <c r="V15" s="73"/>
      <c r="W15" s="74"/>
    </row>
    <row r="17" spans="8:9">
      <c r="H17" s="4" t="s">
        <v>77</v>
      </c>
    </row>
    <row r="18" spans="8:9">
      <c r="H18" s="4">
        <f>[1]テキストシート!C4</f>
        <v>1.1000000000000001</v>
      </c>
      <c r="I18" s="4" t="str">
        <f>[1]テキストシート!D4</f>
        <v>目的</v>
      </c>
    </row>
    <row r="19" spans="8:9">
      <c r="H19" s="4">
        <f>[1]テキストシート!C5</f>
        <v>1.2</v>
      </c>
      <c r="I19" s="4" t="str">
        <f>[1]テキストシート!D5</f>
        <v>目次</v>
      </c>
    </row>
    <row r="20" spans="8:9">
      <c r="H20" s="4">
        <f>[1]テキストシート!C6</f>
        <v>1.3</v>
      </c>
      <c r="I20" s="4" t="str">
        <f>[1]テキストシート!D6</f>
        <v>概略</v>
      </c>
    </row>
    <row r="21" spans="8:9">
      <c r="H21" s="4">
        <f>[1]テキストシート!C7</f>
        <v>1.4</v>
      </c>
      <c r="I21" s="4" t="str">
        <f>[1]テキストシート!D7</f>
        <v>コメント</v>
      </c>
    </row>
  </sheetData>
  <mergeCells count="47">
    <mergeCell ref="P14:S14"/>
    <mergeCell ref="T14:W14"/>
    <mergeCell ref="P15:S15"/>
    <mergeCell ref="T15:W15"/>
    <mergeCell ref="H14:O14"/>
    <mergeCell ref="H15:O15"/>
    <mergeCell ref="P12:S12"/>
    <mergeCell ref="T12:W12"/>
    <mergeCell ref="P13:S13"/>
    <mergeCell ref="T13:W13"/>
    <mergeCell ref="H12:O12"/>
    <mergeCell ref="H13:O13"/>
    <mergeCell ref="P10:S10"/>
    <mergeCell ref="T10:W10"/>
    <mergeCell ref="P11:S11"/>
    <mergeCell ref="T11:W11"/>
    <mergeCell ref="H10:O10"/>
    <mergeCell ref="H11:O11"/>
    <mergeCell ref="P8:S8"/>
    <mergeCell ref="P9:S9"/>
    <mergeCell ref="T9:W9"/>
    <mergeCell ref="H8:O8"/>
    <mergeCell ref="H9:O9"/>
    <mergeCell ref="T7:W8"/>
    <mergeCell ref="P6:S6"/>
    <mergeCell ref="T6:W6"/>
    <mergeCell ref="P7:S7"/>
    <mergeCell ref="H6:O6"/>
    <mergeCell ref="H7:O7"/>
    <mergeCell ref="P4:S4"/>
    <mergeCell ref="T4:W4"/>
    <mergeCell ref="P5:S5"/>
    <mergeCell ref="T5:W5"/>
    <mergeCell ref="H4:O4"/>
    <mergeCell ref="H5:O5"/>
    <mergeCell ref="D15:G15"/>
    <mergeCell ref="D4:G4"/>
    <mergeCell ref="D5:G5"/>
    <mergeCell ref="D6:G6"/>
    <mergeCell ref="D7:G7"/>
    <mergeCell ref="D8:G8"/>
    <mergeCell ref="D9:G9"/>
    <mergeCell ref="D10:G10"/>
    <mergeCell ref="D11:G11"/>
    <mergeCell ref="D12:G12"/>
    <mergeCell ref="D13:G13"/>
    <mergeCell ref="D14:G14"/>
  </mergeCells>
  <phoneticPr fontId="1"/>
  <dataValidations count="2">
    <dataValidation type="list" allowBlank="1" showInputMessage="1" showErrorMessage="1" sqref="D5:G15" xr:uid="{519FB7E0-3077-4B44-AD82-F83D2AE3C7BE}">
      <formula1>"ItemA,ItemB,ItemC"</formula1>
    </dataValidation>
    <dataValidation type="list" allowBlank="1" showInputMessage="1" showErrorMessage="1" sqref="P5:S15" xr:uid="{F8ED361D-01A7-4F36-AB22-B8EB2CB2BFC4}">
      <formula1>$AA$4:$AA$6</formula1>
    </dataValidation>
  </dataValidations>
  <pageMargins left="0.7" right="0.7" top="0.75" bottom="0.75" header="0.3" footer="0.3"/>
  <pageSetup paperSize="9" scale="81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F36007-338F-4A4A-A4DA-75428B4C03B9}">
  <sheetPr codeName="Sheet12"/>
  <dimension ref="B2:G7"/>
  <sheetViews>
    <sheetView workbookViewId="0">
      <selection activeCell="G2" sqref="G2"/>
    </sheetView>
  </sheetViews>
  <sheetFormatPr defaultRowHeight="18.75"/>
  <cols>
    <col min="1" max="6" width="9" style="4"/>
    <col min="7" max="7" width="9" style="30"/>
    <col min="8" max="16384" width="9" style="4"/>
  </cols>
  <sheetData>
    <row r="2" spans="2:7">
      <c r="B2" s="6" t="s">
        <v>100</v>
      </c>
    </row>
    <row r="4" spans="2:7">
      <c r="B4" s="6" t="str">
        <f>HYPERLINK("http://localhost:3000/issues/89")</f>
        <v>http://localhost:3000/issues/89</v>
      </c>
    </row>
    <row r="7" spans="2:7" s="29" customFormat="1">
      <c r="G7" s="30"/>
    </row>
  </sheetData>
  <phoneticPr fontId="1"/>
  <hyperlinks>
    <hyperlink ref="B2" r:id="rId1" xr:uid="{C6EDE8E3-967E-4741-8F7B-8D8A5EDD147B}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2BF263-F53A-4B65-8E80-FB1CCD7A3D56}">
  <sheetPr codeName="Sheet13"/>
  <dimension ref="A1:E9"/>
  <sheetViews>
    <sheetView view="pageBreakPreview" zoomScaleNormal="100" zoomScaleSheetLayoutView="100" workbookViewId="0">
      <selection activeCell="E9" sqref="E9"/>
    </sheetView>
  </sheetViews>
  <sheetFormatPr defaultRowHeight="18.75"/>
  <cols>
    <col min="5" max="5" width="10.25" bestFit="1" customWidth="1"/>
  </cols>
  <sheetData>
    <row r="1" spans="1:5">
      <c r="A1" t="s">
        <v>101</v>
      </c>
    </row>
    <row r="2" spans="1:5">
      <c r="B2" t="s">
        <v>102</v>
      </c>
    </row>
    <row r="3" spans="1:5">
      <c r="C3" t="s">
        <v>103</v>
      </c>
    </row>
    <row r="9" spans="1:5">
      <c r="E9" s="11">
        <f ca="1">現在日付</f>
        <v>46236</v>
      </c>
    </row>
  </sheetData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24FD1B-D132-4E01-B48C-198863E1B0CE}">
  <sheetPr codeName="Sheet14" filterMode="1"/>
  <dimension ref="B2:G22"/>
  <sheetViews>
    <sheetView showGridLines="0" workbookViewId="0">
      <selection activeCell="F28" sqref="F28"/>
    </sheetView>
  </sheetViews>
  <sheetFormatPr defaultRowHeight="18.75"/>
  <sheetData>
    <row r="2" spans="2:7">
      <c r="B2" s="10" t="s">
        <v>105</v>
      </c>
      <c r="C2" s="10" t="s">
        <v>106</v>
      </c>
      <c r="D2" s="10" t="s">
        <v>107</v>
      </c>
      <c r="E2" s="10" t="s">
        <v>108</v>
      </c>
      <c r="F2" s="10" t="s">
        <v>109</v>
      </c>
      <c r="G2" s="10" t="s">
        <v>153</v>
      </c>
    </row>
    <row r="3" spans="2:7" hidden="1">
      <c r="B3" s="10">
        <v>1</v>
      </c>
      <c r="C3" s="10" t="s">
        <v>110</v>
      </c>
      <c r="D3" s="10" t="s">
        <v>115</v>
      </c>
      <c r="E3" s="10" t="s">
        <v>119</v>
      </c>
      <c r="F3" s="10" t="s">
        <v>123</v>
      </c>
      <c r="G3" s="10">
        <v>100</v>
      </c>
    </row>
    <row r="4" spans="2:7" hidden="1">
      <c r="B4" s="10">
        <v>2</v>
      </c>
      <c r="C4" s="10" t="s">
        <v>111</v>
      </c>
      <c r="D4" s="10" t="s">
        <v>116</v>
      </c>
      <c r="E4" s="10" t="s">
        <v>120</v>
      </c>
      <c r="F4" s="10" t="s">
        <v>124</v>
      </c>
      <c r="G4" s="10">
        <v>125</v>
      </c>
    </row>
    <row r="5" spans="2:7" hidden="1">
      <c r="B5" s="10">
        <v>3</v>
      </c>
      <c r="C5" s="10" t="s">
        <v>112</v>
      </c>
      <c r="D5" s="10" t="s">
        <v>115</v>
      </c>
      <c r="E5" s="10" t="s">
        <v>121</v>
      </c>
      <c r="F5" s="10" t="s">
        <v>125</v>
      </c>
      <c r="G5" s="10">
        <v>110</v>
      </c>
    </row>
    <row r="6" spans="2:7" hidden="1">
      <c r="B6" s="10">
        <v>4</v>
      </c>
      <c r="C6" s="10" t="s">
        <v>112</v>
      </c>
      <c r="D6" s="10" t="s">
        <v>117</v>
      </c>
      <c r="E6" s="10" t="s">
        <v>120</v>
      </c>
      <c r="F6" s="10" t="s">
        <v>126</v>
      </c>
      <c r="G6" s="10">
        <v>95</v>
      </c>
    </row>
    <row r="7" spans="2:7" hidden="1">
      <c r="B7" s="10">
        <v>5</v>
      </c>
      <c r="C7" s="10" t="s">
        <v>113</v>
      </c>
      <c r="D7" s="10" t="s">
        <v>118</v>
      </c>
      <c r="E7" s="10" t="s">
        <v>119</v>
      </c>
      <c r="F7" s="10" t="s">
        <v>127</v>
      </c>
      <c r="G7" s="10">
        <v>98</v>
      </c>
    </row>
    <row r="8" spans="2:7" hidden="1">
      <c r="B8" s="19">
        <v>6</v>
      </c>
      <c r="C8" s="19" t="s">
        <v>114</v>
      </c>
      <c r="D8" s="19" t="s">
        <v>118</v>
      </c>
      <c r="E8" s="19" t="s">
        <v>122</v>
      </c>
      <c r="F8" s="19" t="s">
        <v>128</v>
      </c>
      <c r="G8" s="19">
        <v>111</v>
      </c>
    </row>
    <row r="9" spans="2:7" hidden="1">
      <c r="B9" s="10">
        <v>7</v>
      </c>
      <c r="C9" s="10" t="s">
        <v>110</v>
      </c>
      <c r="D9" s="10" t="s">
        <v>117</v>
      </c>
      <c r="E9" s="10" t="s">
        <v>119</v>
      </c>
      <c r="F9" s="10" t="s">
        <v>129</v>
      </c>
      <c r="G9" s="10">
        <v>107</v>
      </c>
    </row>
    <row r="10" spans="2:7" hidden="1">
      <c r="B10" s="10">
        <v>8</v>
      </c>
      <c r="C10" s="20"/>
      <c r="D10" s="10" t="s">
        <v>131</v>
      </c>
      <c r="E10" s="10" t="s">
        <v>132</v>
      </c>
      <c r="F10" s="10" t="s">
        <v>133</v>
      </c>
      <c r="G10" s="20">
        <v>140</v>
      </c>
    </row>
    <row r="11" spans="2:7" hidden="1">
      <c r="B11" s="10">
        <v>9</v>
      </c>
      <c r="C11" s="10" t="s">
        <v>130</v>
      </c>
      <c r="D11" s="10" t="s">
        <v>117</v>
      </c>
      <c r="E11" s="10"/>
      <c r="F11" s="20" t="s">
        <v>134</v>
      </c>
      <c r="G11" s="10">
        <v>132</v>
      </c>
    </row>
    <row r="12" spans="2:7" hidden="1">
      <c r="B12" s="10">
        <v>10</v>
      </c>
      <c r="C12" s="10" t="s">
        <v>110</v>
      </c>
      <c r="D12" s="10" t="s">
        <v>116</v>
      </c>
      <c r="E12" s="10" t="s">
        <v>122</v>
      </c>
      <c r="F12" s="10" t="s">
        <v>157</v>
      </c>
      <c r="G12" s="10">
        <v>122</v>
      </c>
    </row>
    <row r="13" spans="2:7" hidden="1">
      <c r="B13" s="19">
        <v>11</v>
      </c>
      <c r="C13" s="19" t="s">
        <v>110</v>
      </c>
      <c r="D13" s="19" t="s">
        <v>117</v>
      </c>
      <c r="E13" s="19" t="s">
        <v>120</v>
      </c>
      <c r="F13" s="19"/>
      <c r="G13" s="19">
        <v>100</v>
      </c>
    </row>
    <row r="14" spans="2:7" hidden="1">
      <c r="B14" s="10">
        <v>12</v>
      </c>
      <c r="C14" s="10" t="s">
        <v>147</v>
      </c>
      <c r="D14" s="10" t="s">
        <v>115</v>
      </c>
      <c r="E14" s="10" t="s">
        <v>120</v>
      </c>
      <c r="F14" s="10" t="s">
        <v>126</v>
      </c>
      <c r="G14" s="10">
        <v>88</v>
      </c>
    </row>
    <row r="15" spans="2:7" hidden="1">
      <c r="B15" s="10">
        <v>13</v>
      </c>
      <c r="C15" s="10" t="s">
        <v>148</v>
      </c>
      <c r="D15" s="20" t="s">
        <v>154</v>
      </c>
      <c r="E15" s="10" t="s">
        <v>121</v>
      </c>
      <c r="F15" s="10" t="s">
        <v>126</v>
      </c>
      <c r="G15" s="10">
        <v>87</v>
      </c>
    </row>
    <row r="16" spans="2:7" hidden="1">
      <c r="B16" s="10">
        <v>14</v>
      </c>
      <c r="C16" s="10" t="s">
        <v>149</v>
      </c>
      <c r="D16" s="10" t="s">
        <v>131</v>
      </c>
      <c r="E16" s="10" t="s">
        <v>119</v>
      </c>
      <c r="F16" s="10" t="s">
        <v>124</v>
      </c>
      <c r="G16" s="10">
        <v>90</v>
      </c>
    </row>
    <row r="17" spans="2:7" hidden="1">
      <c r="B17" s="10">
        <v>15</v>
      </c>
      <c r="C17" s="10" t="s">
        <v>150</v>
      </c>
      <c r="D17" s="10" t="s">
        <v>117</v>
      </c>
      <c r="E17" s="10" t="s">
        <v>119</v>
      </c>
      <c r="F17" s="10" t="s">
        <v>125</v>
      </c>
      <c r="G17" s="10">
        <v>95</v>
      </c>
    </row>
    <row r="18" spans="2:7">
      <c r="B18" s="19">
        <v>16</v>
      </c>
      <c r="C18" s="19" t="s">
        <v>148</v>
      </c>
      <c r="D18" s="19" t="s">
        <v>115</v>
      </c>
      <c r="E18" s="19" t="s">
        <v>122</v>
      </c>
      <c r="F18" s="19" t="s">
        <v>124</v>
      </c>
      <c r="G18" s="19">
        <v>104</v>
      </c>
    </row>
    <row r="19" spans="2:7" hidden="1">
      <c r="B19" s="10">
        <v>17</v>
      </c>
      <c r="C19" s="10" t="s">
        <v>149</v>
      </c>
      <c r="D19" s="10" t="s">
        <v>115</v>
      </c>
      <c r="E19" s="10" t="s">
        <v>155</v>
      </c>
      <c r="F19" s="10" t="s">
        <v>123</v>
      </c>
      <c r="G19" s="10">
        <v>99</v>
      </c>
    </row>
    <row r="20" spans="2:7">
      <c r="B20" s="19">
        <v>18</v>
      </c>
      <c r="C20" s="19" t="s">
        <v>151</v>
      </c>
      <c r="D20" s="19" t="s">
        <v>116</v>
      </c>
      <c r="E20" s="19" t="s">
        <v>156</v>
      </c>
      <c r="F20" s="19" t="s">
        <v>129</v>
      </c>
      <c r="G20" s="19">
        <v>104</v>
      </c>
    </row>
    <row r="21" spans="2:7" hidden="1">
      <c r="B21" s="10">
        <v>19</v>
      </c>
      <c r="C21" s="10" t="s">
        <v>152</v>
      </c>
      <c r="D21" s="10"/>
      <c r="E21" s="10" t="s">
        <v>156</v>
      </c>
      <c r="F21" s="10" t="s">
        <v>128</v>
      </c>
      <c r="G21" s="10">
        <v>115</v>
      </c>
    </row>
    <row r="22" spans="2:7" hidden="1">
      <c r="B22" s="10">
        <v>20</v>
      </c>
      <c r="C22" s="10" t="s">
        <v>152</v>
      </c>
      <c r="D22" s="10" t="s">
        <v>131</v>
      </c>
      <c r="E22" s="10" t="s">
        <v>119</v>
      </c>
      <c r="F22" s="10" t="s">
        <v>128</v>
      </c>
      <c r="G22" s="10">
        <v>108</v>
      </c>
    </row>
  </sheetData>
  <autoFilter ref="B2:G22" xr:uid="{A224FD1B-D132-4E01-B48C-198863E1B0CE}">
    <filterColumn colId="1">
      <customFilters and="1">
        <customFilter val="C*"/>
        <customFilter val="*e"/>
      </customFilters>
    </filterColumn>
    <filterColumn colId="3">
      <customFilters>
        <customFilter val="Er*"/>
      </customFilters>
    </filterColumn>
    <filterColumn colId="4">
      <colorFilter dxfId="25"/>
    </filterColumn>
    <filterColumn colId="5">
      <customFilters>
        <customFilter operator="greaterThanOrEqual" val="101"/>
      </customFilters>
    </filterColumn>
  </autoFilter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866A75-0675-4EAC-9CD4-13D3138AD259}">
  <sheetPr codeName="Sheet15"/>
  <dimension ref="B2:F19"/>
  <sheetViews>
    <sheetView workbookViewId="0">
      <selection activeCell="D24" sqref="D24"/>
    </sheetView>
  </sheetViews>
  <sheetFormatPr defaultRowHeight="18.75"/>
  <cols>
    <col min="3" max="3" width="38.25" customWidth="1"/>
    <col min="4" max="4" width="25.125" customWidth="1"/>
    <col min="5" max="5" width="22.875" customWidth="1"/>
    <col min="6" max="6" width="38.125" customWidth="1"/>
  </cols>
  <sheetData>
    <row r="2" spans="2:6">
      <c r="B2" t="s">
        <v>141</v>
      </c>
    </row>
    <row r="3" spans="2:6">
      <c r="B3" t="s">
        <v>139</v>
      </c>
      <c r="C3" s="24" t="s">
        <v>27</v>
      </c>
      <c r="D3" s="25" t="s">
        <v>34</v>
      </c>
      <c r="E3" s="25" t="s">
        <v>32</v>
      </c>
      <c r="F3" s="26" t="s">
        <v>33</v>
      </c>
    </row>
    <row r="4" spans="2:6">
      <c r="B4" t="s">
        <v>139</v>
      </c>
      <c r="C4" s="13" t="s">
        <v>28</v>
      </c>
      <c r="D4" s="5">
        <v>33</v>
      </c>
      <c r="E4" s="5">
        <v>178</v>
      </c>
      <c r="F4" s="12">
        <v>75</v>
      </c>
    </row>
    <row r="5" spans="2:6">
      <c r="B5" t="s">
        <v>139</v>
      </c>
      <c r="C5" s="13" t="s">
        <v>29</v>
      </c>
      <c r="D5" s="5">
        <v>38</v>
      </c>
      <c r="E5" s="5">
        <v>155</v>
      </c>
      <c r="F5" s="12">
        <v>58</v>
      </c>
    </row>
    <row r="6" spans="2:6">
      <c r="B6" t="s">
        <v>139</v>
      </c>
      <c r="C6" s="13" t="s">
        <v>30</v>
      </c>
      <c r="D6" s="5">
        <v>45</v>
      </c>
      <c r="E6" s="5">
        <v>167</v>
      </c>
      <c r="F6" s="12">
        <v>55</v>
      </c>
    </row>
    <row r="7" spans="2:6">
      <c r="B7" t="s">
        <v>139</v>
      </c>
      <c r="C7" s="8" t="s">
        <v>31</v>
      </c>
      <c r="D7" s="18">
        <v>57</v>
      </c>
      <c r="E7" s="18">
        <v>160</v>
      </c>
      <c r="F7" s="14">
        <v>48</v>
      </c>
    </row>
    <row r="9" spans="2:6">
      <c r="B9" t="s">
        <v>140</v>
      </c>
      <c r="C9" s="15" t="s">
        <v>27</v>
      </c>
      <c r="D9" s="16" t="s">
        <v>34</v>
      </c>
      <c r="E9" s="16" t="s">
        <v>32</v>
      </c>
      <c r="F9" s="17" t="s">
        <v>33</v>
      </c>
    </row>
    <row r="10" spans="2:6" hidden="1">
      <c r="B10" t="s">
        <v>140</v>
      </c>
      <c r="C10" s="13" t="s">
        <v>135</v>
      </c>
      <c r="D10" s="5">
        <v>17</v>
      </c>
      <c r="E10" s="5">
        <v>160</v>
      </c>
      <c r="F10" s="12">
        <v>50</v>
      </c>
    </row>
    <row r="11" spans="2:6">
      <c r="B11" t="s">
        <v>140</v>
      </c>
      <c r="C11" s="21" t="s">
        <v>136</v>
      </c>
      <c r="D11" s="19">
        <v>16</v>
      </c>
      <c r="E11" s="19">
        <v>165</v>
      </c>
      <c r="F11" s="22">
        <v>45</v>
      </c>
    </row>
    <row r="12" spans="2:6">
      <c r="B12" t="s">
        <v>140</v>
      </c>
      <c r="C12" s="21" t="s">
        <v>137</v>
      </c>
      <c r="D12" s="19">
        <v>17</v>
      </c>
      <c r="E12" s="19">
        <v>155</v>
      </c>
      <c r="F12" s="22">
        <v>48</v>
      </c>
    </row>
    <row r="13" spans="2:6" hidden="1">
      <c r="B13" t="s">
        <v>140</v>
      </c>
      <c r="C13" s="8" t="s">
        <v>138</v>
      </c>
      <c r="D13" s="18">
        <v>15</v>
      </c>
      <c r="E13" s="18">
        <v>180</v>
      </c>
      <c r="F13" s="14">
        <v>80</v>
      </c>
    </row>
    <row r="15" spans="2:6">
      <c r="B15" t="s">
        <v>142</v>
      </c>
      <c r="C15" s="15" t="s">
        <v>27</v>
      </c>
      <c r="D15" s="16" t="s">
        <v>34</v>
      </c>
      <c r="E15" s="16" t="s">
        <v>32</v>
      </c>
      <c r="F15" s="17" t="s">
        <v>33</v>
      </c>
    </row>
    <row r="16" spans="2:6">
      <c r="B16" t="s">
        <v>142</v>
      </c>
      <c r="C16" s="13" t="s">
        <v>143</v>
      </c>
      <c r="D16" s="5">
        <v>70</v>
      </c>
      <c r="E16" s="5">
        <v>172</v>
      </c>
      <c r="F16" s="12">
        <v>55</v>
      </c>
    </row>
    <row r="17" spans="2:6">
      <c r="B17" t="s">
        <v>142</v>
      </c>
      <c r="C17" s="13" t="s">
        <v>144</v>
      </c>
      <c r="D17" s="5">
        <v>78</v>
      </c>
      <c r="E17" s="5">
        <v>165</v>
      </c>
      <c r="F17" s="12">
        <v>47</v>
      </c>
    </row>
    <row r="18" spans="2:6">
      <c r="B18" t="s">
        <v>142</v>
      </c>
      <c r="C18" s="13" t="s">
        <v>145</v>
      </c>
      <c r="D18" s="5">
        <v>83</v>
      </c>
      <c r="E18" s="5">
        <v>170</v>
      </c>
      <c r="F18" s="12">
        <v>43</v>
      </c>
    </row>
    <row r="19" spans="2:6" hidden="1">
      <c r="B19" t="s">
        <v>142</v>
      </c>
      <c r="C19" s="8" t="s">
        <v>146</v>
      </c>
      <c r="D19" s="18">
        <v>75</v>
      </c>
      <c r="E19" s="18">
        <v>158</v>
      </c>
      <c r="F19" s="14">
        <v>60</v>
      </c>
    </row>
  </sheetData>
  <autoFilter ref="B2:F2" xr:uid="{A0866A75-0675-4EAC-9CD4-13D3138AD259}"/>
  <phoneticPr fontId="1"/>
  <pageMargins left="0.7" right="0.7" top="0.75" bottom="0.75" header="0.3" footer="0.3"/>
  <tableParts count="3">
    <tablePart r:id="rId1"/>
    <tablePart r:id="rId2"/>
    <tablePart r:id="rId3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43D5A2-C90A-4F24-B454-8A072DB47011}">
  <sheetPr codeName="Sheet16"/>
  <dimension ref="B2:H14"/>
  <sheetViews>
    <sheetView showGridLines="0" workbookViewId="0">
      <selection activeCell="H14" sqref="H14"/>
    </sheetView>
  </sheetViews>
  <sheetFormatPr defaultRowHeight="18.75"/>
  <cols>
    <col min="3" max="3" width="20.625" customWidth="1"/>
    <col min="4" max="4" width="9.25" bestFit="1" customWidth="1"/>
  </cols>
  <sheetData>
    <row r="2" spans="2:8">
      <c r="B2" t="s">
        <v>158</v>
      </c>
    </row>
    <row r="4" spans="2:8">
      <c r="C4" s="81" t="s">
        <v>79</v>
      </c>
      <c r="D4" s="76"/>
    </row>
    <row r="5" spans="2:8">
      <c r="C5" s="10" t="s">
        <v>160</v>
      </c>
      <c r="D5" s="23">
        <v>46180</v>
      </c>
    </row>
    <row r="6" spans="2:8">
      <c r="C6" s="81" t="s">
        <v>159</v>
      </c>
      <c r="D6" s="76"/>
    </row>
    <row r="7" spans="2:8">
      <c r="C7" s="10"/>
      <c r="D7" s="10"/>
    </row>
    <row r="8" spans="2:8">
      <c r="C8" s="81" t="s">
        <v>81</v>
      </c>
      <c r="D8" s="76"/>
    </row>
    <row r="9" spans="2:8">
      <c r="C9" s="10"/>
      <c r="D9" s="10"/>
    </row>
    <row r="14" spans="2:8">
      <c r="H14" t="str">
        <f>コメントという名前を定義</f>
        <v>コメント</v>
      </c>
    </row>
  </sheetData>
  <mergeCells count="3">
    <mergeCell ref="C4:D4"/>
    <mergeCell ref="C6:D6"/>
    <mergeCell ref="C8:D8"/>
  </mergeCells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25A52F-28BC-44D4-8287-BCFBC7120806}">
  <dimension ref="B2:AM48"/>
  <sheetViews>
    <sheetView showGridLines="0" workbookViewId="0">
      <selection activeCell="D4" sqref="D4"/>
    </sheetView>
  </sheetViews>
  <sheetFormatPr defaultColWidth="3.125" defaultRowHeight="18.75" outlineLevelRow="1" outlineLevelCol="1"/>
  <cols>
    <col min="4" max="4" width="3.125" customWidth="1"/>
    <col min="5" max="15" width="3.125" customWidth="1" outlineLevel="1"/>
    <col min="16" max="16" width="3.125" customWidth="1"/>
    <col min="17" max="27" width="3.125" customWidth="1" outlineLevel="1"/>
    <col min="29" max="39" width="3.125" customWidth="1" outlineLevel="1"/>
  </cols>
  <sheetData>
    <row r="2" spans="2:39">
      <c r="D2" s="28" t="s">
        <v>171</v>
      </c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8" t="s">
        <v>170</v>
      </c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8" t="s">
        <v>169</v>
      </c>
      <c r="AC2" s="27"/>
      <c r="AD2" s="27"/>
      <c r="AE2" s="27"/>
      <c r="AF2" s="27"/>
      <c r="AG2" s="27"/>
      <c r="AH2" s="27"/>
      <c r="AI2" s="27"/>
      <c r="AJ2" s="27"/>
      <c r="AK2" s="27"/>
      <c r="AL2" s="27"/>
      <c r="AM2" s="27"/>
    </row>
    <row r="3" spans="2:39">
      <c r="D3">
        <v>1</v>
      </c>
      <c r="E3">
        <v>2</v>
      </c>
      <c r="F3">
        <v>3</v>
      </c>
      <c r="G3">
        <v>4</v>
      </c>
      <c r="H3">
        <v>5</v>
      </c>
      <c r="I3">
        <v>6</v>
      </c>
      <c r="J3">
        <v>7</v>
      </c>
      <c r="K3">
        <v>8</v>
      </c>
      <c r="L3">
        <v>9</v>
      </c>
      <c r="M3">
        <v>10</v>
      </c>
      <c r="N3">
        <v>11</v>
      </c>
      <c r="O3">
        <v>12</v>
      </c>
      <c r="P3">
        <v>1</v>
      </c>
      <c r="Q3">
        <v>2</v>
      </c>
      <c r="R3">
        <v>3</v>
      </c>
      <c r="S3">
        <v>4</v>
      </c>
      <c r="T3">
        <v>5</v>
      </c>
      <c r="U3">
        <v>6</v>
      </c>
      <c r="V3">
        <v>7</v>
      </c>
      <c r="W3">
        <v>8</v>
      </c>
      <c r="X3">
        <v>9</v>
      </c>
      <c r="Y3">
        <v>10</v>
      </c>
      <c r="Z3">
        <v>11</v>
      </c>
      <c r="AA3">
        <v>12</v>
      </c>
      <c r="AB3">
        <v>1</v>
      </c>
      <c r="AC3">
        <v>2</v>
      </c>
      <c r="AD3">
        <v>3</v>
      </c>
      <c r="AE3">
        <v>4</v>
      </c>
      <c r="AF3">
        <v>5</v>
      </c>
      <c r="AG3">
        <v>6</v>
      </c>
      <c r="AH3">
        <v>7</v>
      </c>
      <c r="AI3">
        <v>8</v>
      </c>
      <c r="AJ3">
        <v>9</v>
      </c>
      <c r="AK3">
        <v>10</v>
      </c>
      <c r="AL3">
        <v>11</v>
      </c>
      <c r="AM3">
        <v>12</v>
      </c>
    </row>
    <row r="4" spans="2:39">
      <c r="B4">
        <v>1</v>
      </c>
    </row>
    <row r="5" spans="2:39" outlineLevel="1">
      <c r="C5" t="s">
        <v>161</v>
      </c>
      <c r="D5" s="29"/>
      <c r="E5" s="29"/>
      <c r="F5" s="29"/>
      <c r="G5" s="29"/>
      <c r="H5" s="29"/>
      <c r="I5" s="29"/>
      <c r="J5" s="29"/>
      <c r="K5" s="29"/>
    </row>
    <row r="6" spans="2:39" outlineLevel="1">
      <c r="C6" t="s">
        <v>162</v>
      </c>
      <c r="L6" s="29"/>
      <c r="M6" s="29"/>
      <c r="N6" s="29"/>
      <c r="O6" s="29"/>
      <c r="P6" s="29"/>
      <c r="Q6" s="29"/>
      <c r="R6" s="29"/>
    </row>
    <row r="7" spans="2:39" outlineLevel="1">
      <c r="C7" t="s">
        <v>163</v>
      </c>
      <c r="S7" s="29"/>
      <c r="T7" s="29"/>
      <c r="U7" s="29"/>
      <c r="V7" s="29"/>
      <c r="W7" s="29"/>
      <c r="X7" s="29"/>
      <c r="Y7" s="29"/>
      <c r="Z7" s="29"/>
    </row>
    <row r="8" spans="2:39" outlineLevel="1">
      <c r="C8" t="s">
        <v>164</v>
      </c>
      <c r="AA8" s="29"/>
      <c r="AB8" s="29"/>
      <c r="AC8" s="29"/>
      <c r="AD8" s="29"/>
      <c r="AE8" s="29"/>
    </row>
    <row r="9" spans="2:39">
      <c r="B9">
        <v>2</v>
      </c>
    </row>
    <row r="10" spans="2:39" outlineLevel="1">
      <c r="C10" t="s">
        <v>161</v>
      </c>
      <c r="D10" s="29"/>
      <c r="E10" s="29"/>
      <c r="F10" s="29"/>
    </row>
    <row r="11" spans="2:39" outlineLevel="1">
      <c r="C11" t="s">
        <v>162</v>
      </c>
      <c r="P11" s="29"/>
      <c r="Q11" s="29"/>
      <c r="R11" s="29"/>
      <c r="S11" s="29"/>
      <c r="T11" s="29"/>
      <c r="U11" s="29"/>
      <c r="V11" s="29"/>
      <c r="W11" s="29"/>
      <c r="X11" s="29"/>
      <c r="Y11" s="29"/>
      <c r="Z11" s="29"/>
    </row>
    <row r="12" spans="2:39">
      <c r="B12">
        <v>3</v>
      </c>
    </row>
    <row r="13" spans="2:39" outlineLevel="1">
      <c r="C13" t="s">
        <v>161</v>
      </c>
      <c r="D13" s="29"/>
      <c r="L13" s="29"/>
      <c r="X13" s="29"/>
      <c r="Y13" s="29"/>
    </row>
    <row r="14" spans="2:39" outlineLevel="1">
      <c r="C14" t="s">
        <v>162</v>
      </c>
      <c r="E14" s="29"/>
      <c r="K14" s="29"/>
      <c r="M14" s="29"/>
      <c r="V14" s="29"/>
      <c r="W14" s="29"/>
    </row>
    <row r="15" spans="2:39" outlineLevel="1">
      <c r="C15" t="s">
        <v>163</v>
      </c>
      <c r="F15" s="29"/>
      <c r="J15" s="29"/>
      <c r="N15" s="29"/>
      <c r="T15" s="29"/>
      <c r="U15" s="29"/>
    </row>
    <row r="16" spans="2:39" outlineLevel="1">
      <c r="C16" t="s">
        <v>164</v>
      </c>
      <c r="G16" s="29"/>
      <c r="I16" s="29"/>
      <c r="O16" s="29"/>
      <c r="R16" s="29"/>
      <c r="S16" s="29"/>
    </row>
    <row r="17" spans="2:29" outlineLevel="1">
      <c r="C17" t="s">
        <v>165</v>
      </c>
      <c r="H17" s="29"/>
      <c r="P17" s="29"/>
      <c r="Q17" s="29"/>
    </row>
    <row r="18" spans="2:29">
      <c r="B18">
        <v>4</v>
      </c>
    </row>
    <row r="19" spans="2:29" outlineLevel="1">
      <c r="C19" t="s">
        <v>164</v>
      </c>
      <c r="D19" s="29"/>
      <c r="E19" s="29"/>
      <c r="F19" s="29"/>
      <c r="G19" s="29"/>
      <c r="H19" s="29"/>
      <c r="I19" s="29"/>
      <c r="J19" s="29"/>
      <c r="K19" s="29"/>
      <c r="L19" s="29"/>
      <c r="M19" s="29"/>
      <c r="N19" s="29"/>
      <c r="O19" s="29"/>
      <c r="P19" s="29"/>
      <c r="Q19" s="29"/>
      <c r="R19" s="29"/>
      <c r="S19" s="29"/>
    </row>
    <row r="20" spans="2:29" outlineLevel="1">
      <c r="C20" t="s">
        <v>165</v>
      </c>
      <c r="T20" s="29"/>
      <c r="U20" s="29"/>
    </row>
    <row r="21" spans="2:29" outlineLevel="1">
      <c r="C21" t="s">
        <v>166</v>
      </c>
      <c r="W21" s="29"/>
      <c r="X21" s="29"/>
      <c r="Y21" s="29"/>
      <c r="Z21" s="29"/>
    </row>
    <row r="22" spans="2:29" outlineLevel="1">
      <c r="C22" t="s">
        <v>167</v>
      </c>
      <c r="AA22" s="29"/>
    </row>
    <row r="23" spans="2:29" outlineLevel="1">
      <c r="C23" t="s">
        <v>168</v>
      </c>
      <c r="AB23" s="29"/>
    </row>
    <row r="24" spans="2:29">
      <c r="B24">
        <v>5</v>
      </c>
    </row>
    <row r="25" spans="2:29" outlineLevel="1">
      <c r="C25" t="s">
        <v>165</v>
      </c>
      <c r="D25" s="29"/>
      <c r="E25" s="29"/>
      <c r="F25" s="29"/>
      <c r="J25" s="29"/>
      <c r="K25" s="29"/>
      <c r="L25" s="29"/>
      <c r="P25" s="29"/>
      <c r="Q25" s="29"/>
      <c r="S25" s="29"/>
      <c r="U25" s="29"/>
      <c r="W25" s="29"/>
      <c r="AA25" s="29"/>
      <c r="AB25" s="29"/>
      <c r="AC25" s="29"/>
    </row>
    <row r="26" spans="2:29" outlineLevel="1">
      <c r="C26" t="s">
        <v>167</v>
      </c>
      <c r="G26" s="29"/>
      <c r="H26" s="29"/>
      <c r="I26" s="29"/>
      <c r="M26" s="29"/>
      <c r="N26" s="29"/>
      <c r="O26" s="29"/>
    </row>
    <row r="27" spans="2:29">
      <c r="B27">
        <v>6</v>
      </c>
    </row>
    <row r="28" spans="2:29" outlineLevel="1">
      <c r="C28" t="s">
        <v>161</v>
      </c>
      <c r="G28" s="29"/>
      <c r="I28" s="29"/>
      <c r="J28" s="29"/>
    </row>
    <row r="29" spans="2:29" outlineLevel="1">
      <c r="C29" t="s">
        <v>162</v>
      </c>
      <c r="F29" s="29"/>
      <c r="H29" s="29"/>
      <c r="I29" s="29"/>
    </row>
    <row r="30" spans="2:29" outlineLevel="1">
      <c r="C30" t="s">
        <v>163</v>
      </c>
      <c r="D30" s="29"/>
      <c r="E30" s="29"/>
      <c r="F30" s="29"/>
    </row>
    <row r="31" spans="2:29" outlineLevel="1">
      <c r="C31" t="s">
        <v>164</v>
      </c>
      <c r="K31" s="29"/>
      <c r="L31" s="29"/>
      <c r="M31" s="29"/>
    </row>
    <row r="32" spans="2:29" outlineLevel="1">
      <c r="C32" t="s">
        <v>165</v>
      </c>
      <c r="M32" s="29"/>
      <c r="N32" s="29"/>
    </row>
    <row r="33" spans="2:38" outlineLevel="1">
      <c r="C33" t="s">
        <v>166</v>
      </c>
      <c r="O33" s="29"/>
      <c r="P33" s="29"/>
      <c r="Q33" s="29"/>
      <c r="X33" s="29"/>
      <c r="Y33" s="29"/>
    </row>
    <row r="34" spans="2:38" outlineLevel="1">
      <c r="C34" t="s">
        <v>167</v>
      </c>
      <c r="P34" s="29"/>
      <c r="Q34" s="29"/>
      <c r="R34" s="29"/>
      <c r="S34" s="29"/>
      <c r="T34" s="29"/>
      <c r="U34" s="29"/>
      <c r="V34" s="29"/>
      <c r="W34" s="29"/>
      <c r="X34" s="29"/>
      <c r="Y34" s="29"/>
      <c r="Z34" s="29"/>
      <c r="AA34" s="29"/>
    </row>
    <row r="35" spans="2:38" outlineLevel="1">
      <c r="C35" t="s">
        <v>168</v>
      </c>
      <c r="P35" s="29"/>
      <c r="Y35" s="29"/>
      <c r="Z35" s="29"/>
      <c r="AA35" s="29"/>
    </row>
    <row r="36" spans="2:38">
      <c r="B36">
        <v>7</v>
      </c>
    </row>
    <row r="37" spans="2:38" outlineLevel="1">
      <c r="C37" t="s">
        <v>163</v>
      </c>
      <c r="H37" s="29"/>
    </row>
    <row r="38" spans="2:38" outlineLevel="1">
      <c r="C38" t="s">
        <v>165</v>
      </c>
      <c r="J38" s="29"/>
      <c r="AJ38" s="29"/>
      <c r="AK38" s="29"/>
      <c r="AL38" s="29"/>
    </row>
    <row r="39" spans="2:38" outlineLevel="1">
      <c r="C39" t="s">
        <v>166</v>
      </c>
      <c r="L39" s="29"/>
      <c r="M39" s="29"/>
      <c r="S39" s="29"/>
      <c r="T39" s="29"/>
      <c r="U39" s="29"/>
      <c r="X39" s="29"/>
      <c r="Z39" s="29"/>
      <c r="AC39" s="29"/>
      <c r="AD39" s="29"/>
      <c r="AE39" s="29"/>
      <c r="AF39" s="29"/>
      <c r="AG39" s="29"/>
      <c r="AH39" s="29"/>
    </row>
    <row r="40" spans="2:38" outlineLevel="1">
      <c r="C40" t="s">
        <v>168</v>
      </c>
      <c r="O40" s="29"/>
      <c r="P40" s="29"/>
      <c r="Q40" s="29"/>
      <c r="R40" s="29"/>
      <c r="S40" s="29"/>
      <c r="T40" s="29"/>
    </row>
    <row r="41" spans="2:38">
      <c r="B41">
        <v>8</v>
      </c>
    </row>
    <row r="42" spans="2:38" outlineLevel="1">
      <c r="C42" t="s">
        <v>162</v>
      </c>
      <c r="E42" s="29"/>
      <c r="F42" s="29"/>
      <c r="Y42" s="29"/>
      <c r="Z42" s="29"/>
      <c r="AA42" s="29"/>
      <c r="AB42" s="29"/>
      <c r="AC42" s="29"/>
      <c r="AD42" s="29"/>
      <c r="AE42" s="29"/>
      <c r="AF42" s="29"/>
      <c r="AG42" s="29"/>
    </row>
    <row r="43" spans="2:38" outlineLevel="1">
      <c r="C43" t="s">
        <v>164</v>
      </c>
      <c r="I43" s="29"/>
      <c r="J43" s="29"/>
      <c r="K43" s="29"/>
      <c r="L43" s="29"/>
    </row>
    <row r="44" spans="2:38" outlineLevel="1">
      <c r="C44" t="s">
        <v>165</v>
      </c>
      <c r="Q44" s="29"/>
      <c r="S44" s="29"/>
      <c r="U44" s="29"/>
      <c r="W44" s="29"/>
    </row>
    <row r="45" spans="2:38">
      <c r="B45">
        <v>9</v>
      </c>
    </row>
    <row r="46" spans="2:38" outlineLevel="1">
      <c r="C46" t="s">
        <v>161</v>
      </c>
      <c r="F46" s="29"/>
      <c r="G46" s="29"/>
      <c r="H46" s="29"/>
      <c r="I46" s="29"/>
      <c r="J46" s="29"/>
      <c r="K46" s="29"/>
      <c r="L46" s="29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29"/>
      <c r="X46" s="29"/>
      <c r="Y46" s="29"/>
      <c r="Z46" s="29"/>
      <c r="AA46" s="29"/>
      <c r="AB46" s="29"/>
      <c r="AC46" s="29"/>
      <c r="AD46" s="29"/>
      <c r="AE46" s="29"/>
      <c r="AF46" s="29"/>
      <c r="AG46" s="29"/>
    </row>
    <row r="47" spans="2:38" outlineLevel="1">
      <c r="C47" t="s">
        <v>164</v>
      </c>
      <c r="I47" s="29"/>
      <c r="J47" s="29"/>
      <c r="K47" s="29"/>
      <c r="L47" s="29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29"/>
    </row>
    <row r="48" spans="2:38" outlineLevel="1">
      <c r="C48" t="s">
        <v>168</v>
      </c>
      <c r="U48" s="29"/>
      <c r="V48" s="29"/>
      <c r="W48" s="29"/>
      <c r="X48" s="29"/>
      <c r="Y48" s="29"/>
      <c r="Z48" s="29"/>
      <c r="AA48" s="29"/>
      <c r="AB48" s="29"/>
      <c r="AC48" s="29"/>
      <c r="AD48" s="29"/>
      <c r="AE48" s="29"/>
      <c r="AF48" s="29"/>
      <c r="AG48" s="29"/>
      <c r="AH48" s="29"/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16207-9202-4D2C-8CD7-567D52F54562}">
  <dimension ref="A1"/>
  <sheetViews>
    <sheetView workbookViewId="0">
      <selection activeCell="N30" sqref="N30"/>
    </sheetView>
  </sheetViews>
  <sheetFormatPr defaultRowHeight="18.75"/>
  <sheetData/>
  <phoneticPr fontId="1"/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08B452-348F-4969-A297-6C204B3F0E7B}">
  <dimension ref="A1"/>
  <sheetViews>
    <sheetView showGridLines="0" workbookViewId="0">
      <selection activeCell="C19" sqref="C19"/>
    </sheetView>
  </sheetViews>
  <sheetFormatPr defaultRowHeight="18.75"/>
  <cols>
    <col min="1" max="16384" width="9" style="56"/>
  </cols>
  <sheetData/>
  <phoneticPr fontId="1"/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E4B9A4-AC8F-466C-9B7A-D3A2245411C3}">
  <dimension ref="B2:E206"/>
  <sheetViews>
    <sheetView tabSelected="1" view="pageBreakPreview" zoomScale="60" zoomScaleNormal="100" workbookViewId="0">
      <selection activeCell="R29" sqref="R29"/>
    </sheetView>
  </sheetViews>
  <sheetFormatPr defaultRowHeight="18.75"/>
  <cols>
    <col min="4" max="4" width="9.125" customWidth="1"/>
    <col min="5" max="5" width="17.125" customWidth="1"/>
  </cols>
  <sheetData>
    <row r="2" spans="2:5">
      <c r="B2" t="s">
        <v>15</v>
      </c>
      <c r="C2" t="s">
        <v>201</v>
      </c>
      <c r="D2" t="s">
        <v>406</v>
      </c>
      <c r="E2" t="s">
        <v>407</v>
      </c>
    </row>
    <row r="3" spans="2:5">
      <c r="B3">
        <f>ROW()-2</f>
        <v>1</v>
      </c>
      <c r="C3" t="s">
        <v>202</v>
      </c>
      <c r="D3">
        <f>HEX2DEC(RIGHT(C3,4))</f>
        <v>4660</v>
      </c>
      <c r="E3" t="str">
        <f>C3&amp;"="&amp;D3</f>
        <v>0x1234=4660</v>
      </c>
    </row>
    <row r="4" spans="2:5">
      <c r="B4">
        <f t="shared" ref="B4:B67" si="0">ROW()-2</f>
        <v>2</v>
      </c>
      <c r="C4" t="s">
        <v>203</v>
      </c>
      <c r="D4">
        <f t="shared" ref="D4:D67" si="1">HEX2DEC(RIGHT(C4,4))</f>
        <v>4661</v>
      </c>
      <c r="E4" t="str">
        <f t="shared" ref="E4:E67" si="2">C4&amp;"="&amp;D4</f>
        <v>0x1235=4661</v>
      </c>
    </row>
    <row r="5" spans="2:5">
      <c r="B5">
        <f t="shared" si="0"/>
        <v>3</v>
      </c>
      <c r="C5" t="s">
        <v>204</v>
      </c>
      <c r="D5">
        <f t="shared" si="1"/>
        <v>4662</v>
      </c>
      <c r="E5" t="str">
        <f t="shared" si="2"/>
        <v>0x1236=4662</v>
      </c>
    </row>
    <row r="6" spans="2:5">
      <c r="B6">
        <f t="shared" si="0"/>
        <v>4</v>
      </c>
      <c r="C6" t="s">
        <v>205</v>
      </c>
      <c r="D6">
        <f t="shared" si="1"/>
        <v>4663</v>
      </c>
      <c r="E6" t="str">
        <f t="shared" si="2"/>
        <v>0x1237=4663</v>
      </c>
    </row>
    <row r="7" spans="2:5">
      <c r="B7">
        <f t="shared" si="0"/>
        <v>5</v>
      </c>
      <c r="C7" t="s">
        <v>206</v>
      </c>
      <c r="D7">
        <f t="shared" si="1"/>
        <v>4664</v>
      </c>
      <c r="E7" t="str">
        <f t="shared" si="2"/>
        <v>0x1238=4664</v>
      </c>
    </row>
    <row r="8" spans="2:5">
      <c r="B8">
        <f t="shared" si="0"/>
        <v>6</v>
      </c>
      <c r="C8" t="s">
        <v>207</v>
      </c>
      <c r="D8">
        <f t="shared" si="1"/>
        <v>4665</v>
      </c>
      <c r="E8" t="str">
        <f t="shared" si="2"/>
        <v>0x1239=4665</v>
      </c>
    </row>
    <row r="9" spans="2:5">
      <c r="B9">
        <f t="shared" si="0"/>
        <v>7</v>
      </c>
      <c r="C9" t="s">
        <v>208</v>
      </c>
      <c r="D9">
        <f t="shared" si="1"/>
        <v>4672</v>
      </c>
      <c r="E9" t="str">
        <f t="shared" si="2"/>
        <v>0x1240=4672</v>
      </c>
    </row>
    <row r="10" spans="2:5">
      <c r="B10">
        <f t="shared" si="0"/>
        <v>8</v>
      </c>
      <c r="C10" t="s">
        <v>209</v>
      </c>
      <c r="D10">
        <f t="shared" si="1"/>
        <v>4673</v>
      </c>
      <c r="E10" t="str">
        <f t="shared" si="2"/>
        <v>0x1241=4673</v>
      </c>
    </row>
    <row r="11" spans="2:5">
      <c r="B11">
        <f t="shared" si="0"/>
        <v>9</v>
      </c>
      <c r="C11" t="s">
        <v>210</v>
      </c>
      <c r="D11">
        <f t="shared" si="1"/>
        <v>4674</v>
      </c>
      <c r="E11" t="str">
        <f t="shared" si="2"/>
        <v>0x1242=4674</v>
      </c>
    </row>
    <row r="12" spans="2:5">
      <c r="B12">
        <f t="shared" si="0"/>
        <v>10</v>
      </c>
      <c r="C12" t="s">
        <v>211</v>
      </c>
      <c r="D12">
        <f t="shared" si="1"/>
        <v>4675</v>
      </c>
      <c r="E12" t="str">
        <f t="shared" si="2"/>
        <v>0x1243=4675</v>
      </c>
    </row>
    <row r="13" spans="2:5">
      <c r="B13">
        <f t="shared" si="0"/>
        <v>11</v>
      </c>
      <c r="C13" t="s">
        <v>212</v>
      </c>
      <c r="D13">
        <f t="shared" si="1"/>
        <v>4676</v>
      </c>
      <c r="E13" t="str">
        <f t="shared" si="2"/>
        <v>0x1244=4676</v>
      </c>
    </row>
    <row r="14" spans="2:5">
      <c r="B14">
        <f t="shared" si="0"/>
        <v>12</v>
      </c>
      <c r="C14" t="s">
        <v>213</v>
      </c>
      <c r="D14">
        <f t="shared" si="1"/>
        <v>4677</v>
      </c>
      <c r="E14" t="str">
        <f t="shared" si="2"/>
        <v>0x1245=4677</v>
      </c>
    </row>
    <row r="15" spans="2:5">
      <c r="B15">
        <f t="shared" si="0"/>
        <v>13</v>
      </c>
      <c r="C15" t="s">
        <v>214</v>
      </c>
      <c r="D15">
        <f t="shared" si="1"/>
        <v>4678</v>
      </c>
      <c r="E15" t="str">
        <f t="shared" si="2"/>
        <v>0x1246=4678</v>
      </c>
    </row>
    <row r="16" spans="2:5">
      <c r="B16">
        <f t="shared" si="0"/>
        <v>14</v>
      </c>
      <c r="C16" t="s">
        <v>215</v>
      </c>
      <c r="D16">
        <f t="shared" si="1"/>
        <v>4679</v>
      </c>
      <c r="E16" t="str">
        <f t="shared" si="2"/>
        <v>0x1247=4679</v>
      </c>
    </row>
    <row r="17" spans="2:5">
      <c r="B17">
        <f t="shared" si="0"/>
        <v>15</v>
      </c>
      <c r="C17" t="s">
        <v>216</v>
      </c>
      <c r="D17">
        <f t="shared" si="1"/>
        <v>4680</v>
      </c>
      <c r="E17" t="str">
        <f t="shared" si="2"/>
        <v>0x1248=4680</v>
      </c>
    </row>
    <row r="18" spans="2:5">
      <c r="B18">
        <f t="shared" si="0"/>
        <v>16</v>
      </c>
      <c r="C18" t="s">
        <v>217</v>
      </c>
      <c r="D18">
        <f t="shared" si="1"/>
        <v>4681</v>
      </c>
      <c r="E18" t="str">
        <f t="shared" si="2"/>
        <v>0x1249=4681</v>
      </c>
    </row>
    <row r="19" spans="2:5">
      <c r="B19">
        <f t="shared" si="0"/>
        <v>17</v>
      </c>
      <c r="C19" t="s">
        <v>218</v>
      </c>
      <c r="D19">
        <f t="shared" si="1"/>
        <v>4688</v>
      </c>
      <c r="E19" t="str">
        <f t="shared" si="2"/>
        <v>0x1250=4688</v>
      </c>
    </row>
    <row r="20" spans="2:5">
      <c r="B20">
        <f t="shared" si="0"/>
        <v>18</v>
      </c>
      <c r="C20" t="s">
        <v>219</v>
      </c>
      <c r="D20">
        <f t="shared" si="1"/>
        <v>4689</v>
      </c>
      <c r="E20" t="str">
        <f t="shared" si="2"/>
        <v>0x1251=4689</v>
      </c>
    </row>
    <row r="21" spans="2:5">
      <c r="B21">
        <f t="shared" si="0"/>
        <v>19</v>
      </c>
      <c r="C21" t="s">
        <v>220</v>
      </c>
      <c r="D21">
        <f t="shared" si="1"/>
        <v>4690</v>
      </c>
      <c r="E21" t="str">
        <f t="shared" si="2"/>
        <v>0x1252=4690</v>
      </c>
    </row>
    <row r="22" spans="2:5">
      <c r="B22">
        <f t="shared" si="0"/>
        <v>20</v>
      </c>
      <c r="C22" t="s">
        <v>221</v>
      </c>
      <c r="D22">
        <f t="shared" si="1"/>
        <v>4691</v>
      </c>
      <c r="E22" t="str">
        <f t="shared" si="2"/>
        <v>0x1253=4691</v>
      </c>
    </row>
    <row r="23" spans="2:5">
      <c r="B23">
        <f t="shared" si="0"/>
        <v>21</v>
      </c>
      <c r="C23" t="s">
        <v>222</v>
      </c>
      <c r="D23">
        <f t="shared" si="1"/>
        <v>4692</v>
      </c>
      <c r="E23" t="str">
        <f t="shared" si="2"/>
        <v>0x1254=4692</v>
      </c>
    </row>
    <row r="24" spans="2:5">
      <c r="B24">
        <f t="shared" si="0"/>
        <v>22</v>
      </c>
      <c r="C24" t="s">
        <v>223</v>
      </c>
      <c r="D24">
        <f t="shared" si="1"/>
        <v>4693</v>
      </c>
      <c r="E24" t="str">
        <f t="shared" si="2"/>
        <v>0x1255=4693</v>
      </c>
    </row>
    <row r="25" spans="2:5">
      <c r="B25">
        <f t="shared" si="0"/>
        <v>23</v>
      </c>
      <c r="C25" t="s">
        <v>224</v>
      </c>
      <c r="D25">
        <f t="shared" si="1"/>
        <v>4694</v>
      </c>
      <c r="E25" t="str">
        <f t="shared" si="2"/>
        <v>0x1256=4694</v>
      </c>
    </row>
    <row r="26" spans="2:5">
      <c r="B26">
        <f t="shared" si="0"/>
        <v>24</v>
      </c>
      <c r="C26" t="s">
        <v>225</v>
      </c>
      <c r="D26">
        <f t="shared" si="1"/>
        <v>4695</v>
      </c>
      <c r="E26" t="str">
        <f t="shared" si="2"/>
        <v>0x1257=4695</v>
      </c>
    </row>
    <row r="27" spans="2:5">
      <c r="B27">
        <f t="shared" si="0"/>
        <v>25</v>
      </c>
      <c r="C27" t="s">
        <v>226</v>
      </c>
      <c r="D27">
        <f t="shared" si="1"/>
        <v>4696</v>
      </c>
      <c r="E27" t="str">
        <f t="shared" si="2"/>
        <v>0x1258=4696</v>
      </c>
    </row>
    <row r="28" spans="2:5">
      <c r="B28">
        <f t="shared" si="0"/>
        <v>26</v>
      </c>
      <c r="C28" t="s">
        <v>227</v>
      </c>
      <c r="D28">
        <f t="shared" si="1"/>
        <v>4697</v>
      </c>
      <c r="E28" t="str">
        <f t="shared" si="2"/>
        <v>0x1259=4697</v>
      </c>
    </row>
    <row r="29" spans="2:5">
      <c r="B29">
        <f t="shared" si="0"/>
        <v>27</v>
      </c>
      <c r="C29" t="s">
        <v>228</v>
      </c>
      <c r="D29">
        <f t="shared" si="1"/>
        <v>4704</v>
      </c>
      <c r="E29" t="str">
        <f t="shared" si="2"/>
        <v>0x1260=4704</v>
      </c>
    </row>
    <row r="30" spans="2:5">
      <c r="B30">
        <f t="shared" si="0"/>
        <v>28</v>
      </c>
      <c r="C30" t="s">
        <v>229</v>
      </c>
      <c r="D30">
        <f t="shared" si="1"/>
        <v>4705</v>
      </c>
      <c r="E30" t="str">
        <f t="shared" si="2"/>
        <v>0x1261=4705</v>
      </c>
    </row>
    <row r="31" spans="2:5">
      <c r="B31">
        <f t="shared" si="0"/>
        <v>29</v>
      </c>
      <c r="C31" t="s">
        <v>230</v>
      </c>
      <c r="D31">
        <f t="shared" si="1"/>
        <v>4706</v>
      </c>
      <c r="E31" t="str">
        <f t="shared" si="2"/>
        <v>0x1262=4706</v>
      </c>
    </row>
    <row r="32" spans="2:5">
      <c r="B32">
        <f t="shared" si="0"/>
        <v>30</v>
      </c>
      <c r="C32" t="s">
        <v>231</v>
      </c>
      <c r="D32">
        <f t="shared" si="1"/>
        <v>4707</v>
      </c>
      <c r="E32" t="str">
        <f t="shared" si="2"/>
        <v>0x1263=4707</v>
      </c>
    </row>
    <row r="33" spans="2:5">
      <c r="B33">
        <f t="shared" si="0"/>
        <v>31</v>
      </c>
      <c r="C33" t="s">
        <v>232</v>
      </c>
      <c r="D33">
        <f t="shared" si="1"/>
        <v>4708</v>
      </c>
      <c r="E33" t="str">
        <f t="shared" si="2"/>
        <v>0x1264=4708</v>
      </c>
    </row>
    <row r="34" spans="2:5">
      <c r="B34">
        <f t="shared" si="0"/>
        <v>32</v>
      </c>
      <c r="C34" t="s">
        <v>233</v>
      </c>
      <c r="D34">
        <f t="shared" si="1"/>
        <v>4709</v>
      </c>
      <c r="E34" t="str">
        <f t="shared" si="2"/>
        <v>0x1265=4709</v>
      </c>
    </row>
    <row r="35" spans="2:5">
      <c r="B35">
        <f t="shared" si="0"/>
        <v>33</v>
      </c>
      <c r="C35" t="s">
        <v>234</v>
      </c>
      <c r="D35">
        <f t="shared" si="1"/>
        <v>4710</v>
      </c>
      <c r="E35" t="str">
        <f t="shared" si="2"/>
        <v>0x1266=4710</v>
      </c>
    </row>
    <row r="36" spans="2:5">
      <c r="B36">
        <f t="shared" si="0"/>
        <v>34</v>
      </c>
      <c r="C36" t="s">
        <v>235</v>
      </c>
      <c r="D36">
        <f t="shared" si="1"/>
        <v>4711</v>
      </c>
      <c r="E36" t="str">
        <f t="shared" si="2"/>
        <v>0x1267=4711</v>
      </c>
    </row>
    <row r="37" spans="2:5">
      <c r="B37">
        <f t="shared" si="0"/>
        <v>35</v>
      </c>
      <c r="C37" t="s">
        <v>236</v>
      </c>
      <c r="D37">
        <f t="shared" si="1"/>
        <v>4712</v>
      </c>
      <c r="E37" t="str">
        <f t="shared" si="2"/>
        <v>0x1268=4712</v>
      </c>
    </row>
    <row r="38" spans="2:5">
      <c r="B38">
        <f t="shared" si="0"/>
        <v>36</v>
      </c>
      <c r="C38" t="s">
        <v>237</v>
      </c>
      <c r="D38">
        <f t="shared" si="1"/>
        <v>4713</v>
      </c>
      <c r="E38" t="str">
        <f t="shared" si="2"/>
        <v>0x1269=4713</v>
      </c>
    </row>
    <row r="39" spans="2:5">
      <c r="B39">
        <f t="shared" si="0"/>
        <v>37</v>
      </c>
      <c r="C39" t="s">
        <v>238</v>
      </c>
      <c r="D39">
        <f t="shared" si="1"/>
        <v>4720</v>
      </c>
      <c r="E39" t="str">
        <f t="shared" si="2"/>
        <v>0x1270=4720</v>
      </c>
    </row>
    <row r="40" spans="2:5">
      <c r="B40">
        <f t="shared" si="0"/>
        <v>38</v>
      </c>
      <c r="C40" t="s">
        <v>239</v>
      </c>
      <c r="D40">
        <f t="shared" si="1"/>
        <v>4721</v>
      </c>
      <c r="E40" t="str">
        <f t="shared" si="2"/>
        <v>0x1271=4721</v>
      </c>
    </row>
    <row r="41" spans="2:5">
      <c r="B41">
        <f t="shared" si="0"/>
        <v>39</v>
      </c>
      <c r="C41" t="s">
        <v>240</v>
      </c>
      <c r="D41">
        <f t="shared" si="1"/>
        <v>4722</v>
      </c>
      <c r="E41" t="str">
        <f t="shared" si="2"/>
        <v>0x1272=4722</v>
      </c>
    </row>
    <row r="42" spans="2:5">
      <c r="B42">
        <f t="shared" si="0"/>
        <v>40</v>
      </c>
      <c r="C42" t="s">
        <v>241</v>
      </c>
      <c r="D42">
        <f t="shared" si="1"/>
        <v>4723</v>
      </c>
      <c r="E42" t="str">
        <f t="shared" si="2"/>
        <v>0x1273=4723</v>
      </c>
    </row>
    <row r="43" spans="2:5">
      <c r="B43">
        <f t="shared" si="0"/>
        <v>41</v>
      </c>
      <c r="C43" t="s">
        <v>242</v>
      </c>
      <c r="D43">
        <f t="shared" si="1"/>
        <v>4724</v>
      </c>
      <c r="E43" t="str">
        <f t="shared" si="2"/>
        <v>0x1274=4724</v>
      </c>
    </row>
    <row r="44" spans="2:5">
      <c r="B44">
        <f t="shared" si="0"/>
        <v>42</v>
      </c>
      <c r="C44" t="s">
        <v>243</v>
      </c>
      <c r="D44">
        <f t="shared" si="1"/>
        <v>4725</v>
      </c>
      <c r="E44" t="str">
        <f t="shared" si="2"/>
        <v>0x1275=4725</v>
      </c>
    </row>
    <row r="45" spans="2:5">
      <c r="B45">
        <f t="shared" si="0"/>
        <v>43</v>
      </c>
      <c r="C45" t="s">
        <v>244</v>
      </c>
      <c r="D45">
        <f t="shared" si="1"/>
        <v>4726</v>
      </c>
      <c r="E45" t="str">
        <f t="shared" si="2"/>
        <v>0x1276=4726</v>
      </c>
    </row>
    <row r="46" spans="2:5">
      <c r="B46">
        <f t="shared" si="0"/>
        <v>44</v>
      </c>
      <c r="C46" t="s">
        <v>245</v>
      </c>
      <c r="D46">
        <f t="shared" si="1"/>
        <v>4727</v>
      </c>
      <c r="E46" t="str">
        <f t="shared" si="2"/>
        <v>0x1277=4727</v>
      </c>
    </row>
    <row r="47" spans="2:5">
      <c r="B47">
        <f t="shared" si="0"/>
        <v>45</v>
      </c>
      <c r="C47" t="s">
        <v>246</v>
      </c>
      <c r="D47">
        <f t="shared" si="1"/>
        <v>4728</v>
      </c>
      <c r="E47" t="str">
        <f t="shared" si="2"/>
        <v>0x1278=4728</v>
      </c>
    </row>
    <row r="48" spans="2:5">
      <c r="B48">
        <f t="shared" si="0"/>
        <v>46</v>
      </c>
      <c r="C48" t="s">
        <v>247</v>
      </c>
      <c r="D48">
        <f t="shared" si="1"/>
        <v>4729</v>
      </c>
      <c r="E48" t="str">
        <f t="shared" si="2"/>
        <v>0x1279=4729</v>
      </c>
    </row>
    <row r="49" spans="2:5">
      <c r="B49">
        <f t="shared" si="0"/>
        <v>47</v>
      </c>
      <c r="C49" t="s">
        <v>248</v>
      </c>
      <c r="D49">
        <f t="shared" si="1"/>
        <v>4736</v>
      </c>
      <c r="E49" t="str">
        <f t="shared" si="2"/>
        <v>0x1280=4736</v>
      </c>
    </row>
    <row r="50" spans="2:5">
      <c r="B50">
        <f t="shared" si="0"/>
        <v>48</v>
      </c>
      <c r="C50" t="s">
        <v>249</v>
      </c>
      <c r="D50">
        <f t="shared" si="1"/>
        <v>4737</v>
      </c>
      <c r="E50" t="str">
        <f t="shared" si="2"/>
        <v>0x1281=4737</v>
      </c>
    </row>
    <row r="51" spans="2:5">
      <c r="B51">
        <f t="shared" si="0"/>
        <v>49</v>
      </c>
      <c r="C51" t="s">
        <v>250</v>
      </c>
      <c r="D51">
        <f t="shared" si="1"/>
        <v>4738</v>
      </c>
      <c r="E51" t="str">
        <f t="shared" si="2"/>
        <v>0x1282=4738</v>
      </c>
    </row>
    <row r="52" spans="2:5">
      <c r="B52">
        <f t="shared" si="0"/>
        <v>50</v>
      </c>
      <c r="C52" t="s">
        <v>251</v>
      </c>
      <c r="D52">
        <f t="shared" si="1"/>
        <v>4739</v>
      </c>
      <c r="E52" t="str">
        <f t="shared" si="2"/>
        <v>0x1283=4739</v>
      </c>
    </row>
    <row r="53" spans="2:5">
      <c r="B53">
        <f t="shared" si="0"/>
        <v>51</v>
      </c>
      <c r="C53" t="s">
        <v>252</v>
      </c>
      <c r="D53">
        <f t="shared" si="1"/>
        <v>4740</v>
      </c>
      <c r="E53" t="str">
        <f t="shared" si="2"/>
        <v>0x1284=4740</v>
      </c>
    </row>
    <row r="54" spans="2:5">
      <c r="B54">
        <f t="shared" si="0"/>
        <v>52</v>
      </c>
      <c r="C54" t="s">
        <v>253</v>
      </c>
      <c r="D54">
        <f t="shared" si="1"/>
        <v>4741</v>
      </c>
      <c r="E54" t="str">
        <f t="shared" si="2"/>
        <v>0x1285=4741</v>
      </c>
    </row>
    <row r="55" spans="2:5">
      <c r="B55">
        <f t="shared" si="0"/>
        <v>53</v>
      </c>
      <c r="C55" t="s">
        <v>254</v>
      </c>
      <c r="D55">
        <f t="shared" si="1"/>
        <v>4742</v>
      </c>
      <c r="E55" t="str">
        <f t="shared" si="2"/>
        <v>0x1286=4742</v>
      </c>
    </row>
    <row r="56" spans="2:5">
      <c r="B56">
        <f t="shared" si="0"/>
        <v>54</v>
      </c>
      <c r="C56" t="s">
        <v>255</v>
      </c>
      <c r="D56">
        <f t="shared" si="1"/>
        <v>4743</v>
      </c>
      <c r="E56" t="str">
        <f t="shared" si="2"/>
        <v>0x1287=4743</v>
      </c>
    </row>
    <row r="57" spans="2:5">
      <c r="B57">
        <f t="shared" si="0"/>
        <v>55</v>
      </c>
      <c r="C57" t="s">
        <v>256</v>
      </c>
      <c r="D57">
        <f t="shared" si="1"/>
        <v>4744</v>
      </c>
      <c r="E57" t="str">
        <f t="shared" si="2"/>
        <v>0x1288=4744</v>
      </c>
    </row>
    <row r="58" spans="2:5">
      <c r="B58">
        <f t="shared" si="0"/>
        <v>56</v>
      </c>
      <c r="C58" t="s">
        <v>257</v>
      </c>
      <c r="D58">
        <f t="shared" si="1"/>
        <v>4745</v>
      </c>
      <c r="E58" t="str">
        <f t="shared" si="2"/>
        <v>0x1289=4745</v>
      </c>
    </row>
    <row r="59" spans="2:5">
      <c r="B59">
        <f t="shared" si="0"/>
        <v>57</v>
      </c>
      <c r="C59" t="s">
        <v>258</v>
      </c>
      <c r="D59">
        <f t="shared" si="1"/>
        <v>4752</v>
      </c>
      <c r="E59" t="str">
        <f t="shared" si="2"/>
        <v>0x1290=4752</v>
      </c>
    </row>
    <row r="60" spans="2:5">
      <c r="B60">
        <f t="shared" si="0"/>
        <v>58</v>
      </c>
      <c r="C60" t="s">
        <v>259</v>
      </c>
      <c r="D60">
        <f t="shared" si="1"/>
        <v>4753</v>
      </c>
      <c r="E60" t="str">
        <f t="shared" si="2"/>
        <v>0x1291=4753</v>
      </c>
    </row>
    <row r="61" spans="2:5">
      <c r="B61">
        <f t="shared" si="0"/>
        <v>59</v>
      </c>
      <c r="C61" t="s">
        <v>260</v>
      </c>
      <c r="D61">
        <f t="shared" si="1"/>
        <v>4754</v>
      </c>
      <c r="E61" t="str">
        <f t="shared" si="2"/>
        <v>0x1292=4754</v>
      </c>
    </row>
    <row r="62" spans="2:5">
      <c r="B62">
        <f t="shared" si="0"/>
        <v>60</v>
      </c>
      <c r="C62" t="s">
        <v>261</v>
      </c>
      <c r="D62">
        <f t="shared" si="1"/>
        <v>4755</v>
      </c>
      <c r="E62" t="str">
        <f t="shared" si="2"/>
        <v>0x1293=4755</v>
      </c>
    </row>
    <row r="63" spans="2:5">
      <c r="B63">
        <f t="shared" si="0"/>
        <v>61</v>
      </c>
      <c r="C63" t="s">
        <v>262</v>
      </c>
      <c r="D63">
        <f t="shared" si="1"/>
        <v>4756</v>
      </c>
      <c r="E63" t="str">
        <f t="shared" si="2"/>
        <v>0x1294=4756</v>
      </c>
    </row>
    <row r="64" spans="2:5">
      <c r="B64">
        <f t="shared" si="0"/>
        <v>62</v>
      </c>
      <c r="C64" t="s">
        <v>263</v>
      </c>
      <c r="D64">
        <f t="shared" si="1"/>
        <v>4757</v>
      </c>
      <c r="E64" t="str">
        <f t="shared" si="2"/>
        <v>0x1295=4757</v>
      </c>
    </row>
    <row r="65" spans="2:5">
      <c r="B65">
        <f t="shared" si="0"/>
        <v>63</v>
      </c>
      <c r="C65" t="s">
        <v>264</v>
      </c>
      <c r="D65">
        <f t="shared" si="1"/>
        <v>4758</v>
      </c>
      <c r="E65" t="str">
        <f t="shared" si="2"/>
        <v>0x1296=4758</v>
      </c>
    </row>
    <row r="66" spans="2:5">
      <c r="B66">
        <f t="shared" si="0"/>
        <v>64</v>
      </c>
      <c r="C66" t="s">
        <v>265</v>
      </c>
      <c r="D66">
        <f t="shared" si="1"/>
        <v>4759</v>
      </c>
      <c r="E66" t="str">
        <f t="shared" si="2"/>
        <v>0x1297=4759</v>
      </c>
    </row>
    <row r="67" spans="2:5">
      <c r="B67">
        <f t="shared" si="0"/>
        <v>65</v>
      </c>
      <c r="C67" t="s">
        <v>266</v>
      </c>
      <c r="D67">
        <f t="shared" si="1"/>
        <v>4760</v>
      </c>
      <c r="E67" t="str">
        <f t="shared" si="2"/>
        <v>0x1298=4760</v>
      </c>
    </row>
    <row r="68" spans="2:5">
      <c r="B68">
        <f t="shared" ref="B68:B131" si="3">ROW()-2</f>
        <v>66</v>
      </c>
      <c r="C68" t="s">
        <v>267</v>
      </c>
      <c r="D68">
        <f t="shared" ref="D68:D131" si="4">HEX2DEC(RIGHT(C68,4))</f>
        <v>4761</v>
      </c>
      <c r="E68" t="str">
        <f t="shared" ref="E68:E131" si="5">C68&amp;"="&amp;D68</f>
        <v>0x1299=4761</v>
      </c>
    </row>
    <row r="69" spans="2:5">
      <c r="B69">
        <f t="shared" si="3"/>
        <v>67</v>
      </c>
      <c r="C69" t="s">
        <v>268</v>
      </c>
      <c r="D69">
        <f t="shared" si="4"/>
        <v>4864</v>
      </c>
      <c r="E69" t="str">
        <f t="shared" si="5"/>
        <v>0x1300=4864</v>
      </c>
    </row>
    <row r="70" spans="2:5">
      <c r="B70">
        <f t="shared" si="3"/>
        <v>68</v>
      </c>
      <c r="C70" t="s">
        <v>269</v>
      </c>
      <c r="D70">
        <f t="shared" si="4"/>
        <v>4865</v>
      </c>
      <c r="E70" t="str">
        <f t="shared" si="5"/>
        <v>0x1301=4865</v>
      </c>
    </row>
    <row r="71" spans="2:5">
      <c r="B71">
        <f t="shared" si="3"/>
        <v>69</v>
      </c>
      <c r="C71" t="s">
        <v>270</v>
      </c>
      <c r="D71">
        <f t="shared" si="4"/>
        <v>4866</v>
      </c>
      <c r="E71" t="str">
        <f t="shared" si="5"/>
        <v>0x1302=4866</v>
      </c>
    </row>
    <row r="72" spans="2:5">
      <c r="B72">
        <f t="shared" si="3"/>
        <v>70</v>
      </c>
      <c r="C72" t="s">
        <v>271</v>
      </c>
      <c r="D72">
        <f t="shared" si="4"/>
        <v>4867</v>
      </c>
      <c r="E72" t="str">
        <f t="shared" si="5"/>
        <v>0x1303=4867</v>
      </c>
    </row>
    <row r="73" spans="2:5">
      <c r="B73">
        <f t="shared" si="3"/>
        <v>71</v>
      </c>
      <c r="C73" t="s">
        <v>272</v>
      </c>
      <c r="D73">
        <f t="shared" si="4"/>
        <v>4868</v>
      </c>
      <c r="E73" t="str">
        <f t="shared" si="5"/>
        <v>0x1304=4868</v>
      </c>
    </row>
    <row r="74" spans="2:5">
      <c r="B74">
        <f t="shared" si="3"/>
        <v>72</v>
      </c>
      <c r="C74" t="s">
        <v>273</v>
      </c>
      <c r="D74">
        <f t="shared" si="4"/>
        <v>4869</v>
      </c>
      <c r="E74" t="str">
        <f t="shared" si="5"/>
        <v>0x1305=4869</v>
      </c>
    </row>
    <row r="75" spans="2:5">
      <c r="B75">
        <f t="shared" si="3"/>
        <v>73</v>
      </c>
      <c r="C75" t="s">
        <v>274</v>
      </c>
      <c r="D75">
        <f t="shared" si="4"/>
        <v>4870</v>
      </c>
      <c r="E75" t="str">
        <f t="shared" si="5"/>
        <v>0x1306=4870</v>
      </c>
    </row>
    <row r="76" spans="2:5">
      <c r="B76">
        <f t="shared" si="3"/>
        <v>74</v>
      </c>
      <c r="C76" t="s">
        <v>275</v>
      </c>
      <c r="D76">
        <f t="shared" si="4"/>
        <v>4871</v>
      </c>
      <c r="E76" t="str">
        <f t="shared" si="5"/>
        <v>0x1307=4871</v>
      </c>
    </row>
    <row r="77" spans="2:5">
      <c r="B77">
        <f t="shared" si="3"/>
        <v>75</v>
      </c>
      <c r="C77" t="s">
        <v>276</v>
      </c>
      <c r="D77">
        <f t="shared" si="4"/>
        <v>4872</v>
      </c>
      <c r="E77" t="str">
        <f t="shared" si="5"/>
        <v>0x1308=4872</v>
      </c>
    </row>
    <row r="78" spans="2:5">
      <c r="B78">
        <f t="shared" si="3"/>
        <v>76</v>
      </c>
      <c r="C78" t="s">
        <v>277</v>
      </c>
      <c r="D78">
        <f t="shared" si="4"/>
        <v>4873</v>
      </c>
      <c r="E78" t="str">
        <f t="shared" si="5"/>
        <v>0x1309=4873</v>
      </c>
    </row>
    <row r="79" spans="2:5">
      <c r="B79">
        <f t="shared" si="3"/>
        <v>77</v>
      </c>
      <c r="C79" t="s">
        <v>278</v>
      </c>
      <c r="D79">
        <f t="shared" si="4"/>
        <v>4880</v>
      </c>
      <c r="E79" t="str">
        <f t="shared" si="5"/>
        <v>0x1310=4880</v>
      </c>
    </row>
    <row r="80" spans="2:5">
      <c r="B80">
        <f t="shared" si="3"/>
        <v>78</v>
      </c>
      <c r="C80" t="s">
        <v>279</v>
      </c>
      <c r="D80">
        <f t="shared" si="4"/>
        <v>4881</v>
      </c>
      <c r="E80" t="str">
        <f t="shared" si="5"/>
        <v>0x1311=4881</v>
      </c>
    </row>
    <row r="81" spans="2:5">
      <c r="B81">
        <f t="shared" si="3"/>
        <v>79</v>
      </c>
      <c r="C81" t="s">
        <v>280</v>
      </c>
      <c r="D81">
        <f t="shared" si="4"/>
        <v>4882</v>
      </c>
      <c r="E81" t="str">
        <f t="shared" si="5"/>
        <v>0x1312=4882</v>
      </c>
    </row>
    <row r="82" spans="2:5">
      <c r="B82">
        <f t="shared" si="3"/>
        <v>80</v>
      </c>
      <c r="C82" t="s">
        <v>281</v>
      </c>
      <c r="D82">
        <f t="shared" si="4"/>
        <v>4883</v>
      </c>
      <c r="E82" t="str">
        <f t="shared" si="5"/>
        <v>0x1313=4883</v>
      </c>
    </row>
    <row r="83" spans="2:5">
      <c r="B83">
        <f t="shared" si="3"/>
        <v>81</v>
      </c>
      <c r="C83" t="s">
        <v>282</v>
      </c>
      <c r="D83">
        <f t="shared" si="4"/>
        <v>4884</v>
      </c>
      <c r="E83" t="str">
        <f t="shared" si="5"/>
        <v>0x1314=4884</v>
      </c>
    </row>
    <row r="84" spans="2:5">
      <c r="B84">
        <f t="shared" si="3"/>
        <v>82</v>
      </c>
      <c r="C84" t="s">
        <v>283</v>
      </c>
      <c r="D84">
        <f t="shared" si="4"/>
        <v>4885</v>
      </c>
      <c r="E84" t="str">
        <f t="shared" si="5"/>
        <v>0x1315=4885</v>
      </c>
    </row>
    <row r="85" spans="2:5">
      <c r="B85">
        <f t="shared" si="3"/>
        <v>83</v>
      </c>
      <c r="C85" t="s">
        <v>284</v>
      </c>
      <c r="D85">
        <f t="shared" si="4"/>
        <v>4886</v>
      </c>
      <c r="E85" t="str">
        <f t="shared" si="5"/>
        <v>0x1316=4886</v>
      </c>
    </row>
    <row r="86" spans="2:5">
      <c r="B86">
        <f t="shared" si="3"/>
        <v>84</v>
      </c>
      <c r="C86" t="s">
        <v>285</v>
      </c>
      <c r="D86">
        <f t="shared" si="4"/>
        <v>4887</v>
      </c>
      <c r="E86" t="str">
        <f t="shared" si="5"/>
        <v>0x1317=4887</v>
      </c>
    </row>
    <row r="87" spans="2:5">
      <c r="B87">
        <f t="shared" si="3"/>
        <v>85</v>
      </c>
      <c r="C87" t="s">
        <v>286</v>
      </c>
      <c r="D87">
        <f t="shared" si="4"/>
        <v>4888</v>
      </c>
      <c r="E87" t="str">
        <f t="shared" si="5"/>
        <v>0x1318=4888</v>
      </c>
    </row>
    <row r="88" spans="2:5">
      <c r="B88">
        <f t="shared" si="3"/>
        <v>86</v>
      </c>
      <c r="C88" t="s">
        <v>287</v>
      </c>
      <c r="D88">
        <f t="shared" si="4"/>
        <v>4889</v>
      </c>
      <c r="E88" t="str">
        <f t="shared" si="5"/>
        <v>0x1319=4889</v>
      </c>
    </row>
    <row r="89" spans="2:5">
      <c r="B89">
        <f t="shared" si="3"/>
        <v>87</v>
      </c>
      <c r="C89" t="s">
        <v>288</v>
      </c>
      <c r="D89">
        <f t="shared" si="4"/>
        <v>4896</v>
      </c>
      <c r="E89" t="str">
        <f t="shared" si="5"/>
        <v>0x1320=4896</v>
      </c>
    </row>
    <row r="90" spans="2:5">
      <c r="B90">
        <f t="shared" si="3"/>
        <v>88</v>
      </c>
      <c r="C90" t="s">
        <v>289</v>
      </c>
      <c r="D90">
        <f t="shared" si="4"/>
        <v>4897</v>
      </c>
      <c r="E90" t="str">
        <f t="shared" si="5"/>
        <v>0x1321=4897</v>
      </c>
    </row>
    <row r="91" spans="2:5">
      <c r="B91">
        <f t="shared" si="3"/>
        <v>89</v>
      </c>
      <c r="C91" t="s">
        <v>290</v>
      </c>
      <c r="D91">
        <f t="shared" si="4"/>
        <v>4898</v>
      </c>
      <c r="E91" t="str">
        <f t="shared" si="5"/>
        <v>0x1322=4898</v>
      </c>
    </row>
    <row r="92" spans="2:5">
      <c r="B92">
        <f t="shared" si="3"/>
        <v>90</v>
      </c>
      <c r="C92" t="s">
        <v>291</v>
      </c>
      <c r="D92">
        <f t="shared" si="4"/>
        <v>4899</v>
      </c>
      <c r="E92" t="str">
        <f t="shared" si="5"/>
        <v>0x1323=4899</v>
      </c>
    </row>
    <row r="93" spans="2:5">
      <c r="B93">
        <f t="shared" si="3"/>
        <v>91</v>
      </c>
      <c r="C93" t="s">
        <v>292</v>
      </c>
      <c r="D93">
        <f t="shared" si="4"/>
        <v>4900</v>
      </c>
      <c r="E93" t="str">
        <f t="shared" si="5"/>
        <v>0x1324=4900</v>
      </c>
    </row>
    <row r="94" spans="2:5">
      <c r="B94">
        <f t="shared" si="3"/>
        <v>92</v>
      </c>
      <c r="C94" t="s">
        <v>293</v>
      </c>
      <c r="D94">
        <f t="shared" si="4"/>
        <v>4901</v>
      </c>
      <c r="E94" t="str">
        <f t="shared" si="5"/>
        <v>0x1325=4901</v>
      </c>
    </row>
    <row r="95" spans="2:5">
      <c r="B95">
        <f t="shared" si="3"/>
        <v>93</v>
      </c>
      <c r="C95" t="s">
        <v>294</v>
      </c>
      <c r="D95">
        <f t="shared" si="4"/>
        <v>4902</v>
      </c>
      <c r="E95" t="str">
        <f t="shared" si="5"/>
        <v>0x1326=4902</v>
      </c>
    </row>
    <row r="96" spans="2:5">
      <c r="B96">
        <f t="shared" si="3"/>
        <v>94</v>
      </c>
      <c r="C96" t="s">
        <v>295</v>
      </c>
      <c r="D96">
        <f t="shared" si="4"/>
        <v>4903</v>
      </c>
      <c r="E96" t="str">
        <f t="shared" si="5"/>
        <v>0x1327=4903</v>
      </c>
    </row>
    <row r="97" spans="2:5">
      <c r="B97">
        <f t="shared" si="3"/>
        <v>95</v>
      </c>
      <c r="C97" t="s">
        <v>296</v>
      </c>
      <c r="D97">
        <f t="shared" si="4"/>
        <v>4904</v>
      </c>
      <c r="E97" t="str">
        <f t="shared" si="5"/>
        <v>0x1328=4904</v>
      </c>
    </row>
    <row r="98" spans="2:5">
      <c r="B98">
        <f t="shared" si="3"/>
        <v>96</v>
      </c>
      <c r="C98" t="s">
        <v>297</v>
      </c>
      <c r="D98">
        <f t="shared" si="4"/>
        <v>4905</v>
      </c>
      <c r="E98" t="str">
        <f t="shared" si="5"/>
        <v>0x1329=4905</v>
      </c>
    </row>
    <row r="99" spans="2:5">
      <c r="B99">
        <f t="shared" si="3"/>
        <v>97</v>
      </c>
      <c r="C99" t="s">
        <v>298</v>
      </c>
      <c r="D99">
        <f t="shared" si="4"/>
        <v>4912</v>
      </c>
      <c r="E99" t="str">
        <f t="shared" si="5"/>
        <v>0x1330=4912</v>
      </c>
    </row>
    <row r="100" spans="2:5">
      <c r="B100">
        <f t="shared" si="3"/>
        <v>98</v>
      </c>
      <c r="C100" t="s">
        <v>299</v>
      </c>
      <c r="D100">
        <f t="shared" si="4"/>
        <v>4913</v>
      </c>
      <c r="E100" t="str">
        <f t="shared" si="5"/>
        <v>0x1331=4913</v>
      </c>
    </row>
    <row r="101" spans="2:5">
      <c r="B101">
        <f t="shared" si="3"/>
        <v>99</v>
      </c>
      <c r="C101" t="s">
        <v>300</v>
      </c>
      <c r="D101">
        <f t="shared" si="4"/>
        <v>4914</v>
      </c>
      <c r="E101" t="str">
        <f t="shared" si="5"/>
        <v>0x1332=4914</v>
      </c>
    </row>
    <row r="102" spans="2:5">
      <c r="B102">
        <f t="shared" si="3"/>
        <v>100</v>
      </c>
      <c r="C102" t="s">
        <v>301</v>
      </c>
      <c r="D102">
        <f t="shared" si="4"/>
        <v>4915</v>
      </c>
      <c r="E102" t="str">
        <f t="shared" si="5"/>
        <v>0x1333=4915</v>
      </c>
    </row>
    <row r="103" spans="2:5">
      <c r="B103">
        <f t="shared" si="3"/>
        <v>101</v>
      </c>
      <c r="C103" t="s">
        <v>302</v>
      </c>
      <c r="D103">
        <f t="shared" si="4"/>
        <v>4916</v>
      </c>
      <c r="E103" t="str">
        <f t="shared" si="5"/>
        <v>0x1334=4916</v>
      </c>
    </row>
    <row r="104" spans="2:5">
      <c r="B104">
        <f t="shared" si="3"/>
        <v>102</v>
      </c>
      <c r="C104" t="s">
        <v>303</v>
      </c>
      <c r="D104">
        <f t="shared" si="4"/>
        <v>4917</v>
      </c>
      <c r="E104" t="str">
        <f t="shared" si="5"/>
        <v>0x1335=4917</v>
      </c>
    </row>
    <row r="105" spans="2:5">
      <c r="B105">
        <f t="shared" si="3"/>
        <v>103</v>
      </c>
      <c r="C105" t="s">
        <v>304</v>
      </c>
      <c r="D105">
        <f t="shared" si="4"/>
        <v>4918</v>
      </c>
      <c r="E105" t="str">
        <f t="shared" si="5"/>
        <v>0x1336=4918</v>
      </c>
    </row>
    <row r="106" spans="2:5">
      <c r="B106">
        <f t="shared" si="3"/>
        <v>104</v>
      </c>
      <c r="C106" t="s">
        <v>305</v>
      </c>
      <c r="D106">
        <f t="shared" si="4"/>
        <v>4919</v>
      </c>
      <c r="E106" t="str">
        <f t="shared" si="5"/>
        <v>0x1337=4919</v>
      </c>
    </row>
    <row r="107" spans="2:5">
      <c r="B107">
        <f t="shared" si="3"/>
        <v>105</v>
      </c>
      <c r="C107" t="s">
        <v>306</v>
      </c>
      <c r="D107">
        <f t="shared" si="4"/>
        <v>4920</v>
      </c>
      <c r="E107" t="str">
        <f t="shared" si="5"/>
        <v>0x1338=4920</v>
      </c>
    </row>
    <row r="108" spans="2:5">
      <c r="B108">
        <f t="shared" si="3"/>
        <v>106</v>
      </c>
      <c r="C108" t="s">
        <v>307</v>
      </c>
      <c r="D108">
        <f t="shared" si="4"/>
        <v>4921</v>
      </c>
      <c r="E108" t="str">
        <f t="shared" si="5"/>
        <v>0x1339=4921</v>
      </c>
    </row>
    <row r="109" spans="2:5">
      <c r="B109">
        <f t="shared" si="3"/>
        <v>107</v>
      </c>
      <c r="C109" t="s">
        <v>308</v>
      </c>
      <c r="D109">
        <f t="shared" si="4"/>
        <v>4928</v>
      </c>
      <c r="E109" t="str">
        <f t="shared" si="5"/>
        <v>0x1340=4928</v>
      </c>
    </row>
    <row r="110" spans="2:5">
      <c r="B110">
        <f t="shared" si="3"/>
        <v>108</v>
      </c>
      <c r="C110" t="s">
        <v>309</v>
      </c>
      <c r="D110">
        <f t="shared" si="4"/>
        <v>4929</v>
      </c>
      <c r="E110" t="str">
        <f t="shared" si="5"/>
        <v>0x1341=4929</v>
      </c>
    </row>
    <row r="111" spans="2:5">
      <c r="B111">
        <f t="shared" si="3"/>
        <v>109</v>
      </c>
      <c r="C111" t="s">
        <v>310</v>
      </c>
      <c r="D111">
        <f t="shared" si="4"/>
        <v>4930</v>
      </c>
      <c r="E111" t="str">
        <f t="shared" si="5"/>
        <v>0x1342=4930</v>
      </c>
    </row>
    <row r="112" spans="2:5">
      <c r="B112">
        <f t="shared" si="3"/>
        <v>110</v>
      </c>
      <c r="C112" t="s">
        <v>311</v>
      </c>
      <c r="D112">
        <f t="shared" si="4"/>
        <v>4931</v>
      </c>
      <c r="E112" t="str">
        <f t="shared" si="5"/>
        <v>0x1343=4931</v>
      </c>
    </row>
    <row r="113" spans="2:5">
      <c r="B113">
        <f t="shared" si="3"/>
        <v>111</v>
      </c>
      <c r="C113" t="s">
        <v>312</v>
      </c>
      <c r="D113">
        <f t="shared" si="4"/>
        <v>4932</v>
      </c>
      <c r="E113" t="str">
        <f t="shared" si="5"/>
        <v>0x1344=4932</v>
      </c>
    </row>
    <row r="114" spans="2:5">
      <c r="B114">
        <f t="shared" si="3"/>
        <v>112</v>
      </c>
      <c r="C114" t="s">
        <v>313</v>
      </c>
      <c r="D114">
        <f t="shared" si="4"/>
        <v>4933</v>
      </c>
      <c r="E114" t="str">
        <f t="shared" si="5"/>
        <v>0x1345=4933</v>
      </c>
    </row>
    <row r="115" spans="2:5">
      <c r="B115">
        <f t="shared" si="3"/>
        <v>113</v>
      </c>
      <c r="C115" t="s">
        <v>314</v>
      </c>
      <c r="D115">
        <f t="shared" si="4"/>
        <v>4934</v>
      </c>
      <c r="E115" t="str">
        <f t="shared" si="5"/>
        <v>0x1346=4934</v>
      </c>
    </row>
    <row r="116" spans="2:5">
      <c r="B116">
        <f t="shared" si="3"/>
        <v>114</v>
      </c>
      <c r="C116" t="s">
        <v>315</v>
      </c>
      <c r="D116">
        <f t="shared" si="4"/>
        <v>4935</v>
      </c>
      <c r="E116" t="str">
        <f t="shared" si="5"/>
        <v>0x1347=4935</v>
      </c>
    </row>
    <row r="117" spans="2:5">
      <c r="B117">
        <f t="shared" si="3"/>
        <v>115</v>
      </c>
      <c r="C117" t="s">
        <v>316</v>
      </c>
      <c r="D117">
        <f t="shared" si="4"/>
        <v>4936</v>
      </c>
      <c r="E117" t="str">
        <f t="shared" si="5"/>
        <v>0x1348=4936</v>
      </c>
    </row>
    <row r="118" spans="2:5">
      <c r="B118">
        <f t="shared" si="3"/>
        <v>116</v>
      </c>
      <c r="C118" t="s">
        <v>317</v>
      </c>
      <c r="D118">
        <f t="shared" si="4"/>
        <v>4937</v>
      </c>
      <c r="E118" t="str">
        <f t="shared" si="5"/>
        <v>0x1349=4937</v>
      </c>
    </row>
    <row r="119" spans="2:5">
      <c r="B119">
        <f t="shared" si="3"/>
        <v>117</v>
      </c>
      <c r="C119" t="s">
        <v>318</v>
      </c>
      <c r="D119">
        <f t="shared" si="4"/>
        <v>4944</v>
      </c>
      <c r="E119" t="str">
        <f t="shared" si="5"/>
        <v>0x1350=4944</v>
      </c>
    </row>
    <row r="120" spans="2:5">
      <c r="B120">
        <f t="shared" si="3"/>
        <v>118</v>
      </c>
      <c r="C120" t="s">
        <v>319</v>
      </c>
      <c r="D120">
        <f t="shared" si="4"/>
        <v>4945</v>
      </c>
      <c r="E120" t="str">
        <f t="shared" si="5"/>
        <v>0x1351=4945</v>
      </c>
    </row>
    <row r="121" spans="2:5">
      <c r="B121">
        <f t="shared" si="3"/>
        <v>119</v>
      </c>
      <c r="C121" t="s">
        <v>320</v>
      </c>
      <c r="D121">
        <f t="shared" si="4"/>
        <v>4946</v>
      </c>
      <c r="E121" t="str">
        <f t="shared" si="5"/>
        <v>0x1352=4946</v>
      </c>
    </row>
    <row r="122" spans="2:5">
      <c r="B122">
        <f t="shared" si="3"/>
        <v>120</v>
      </c>
      <c r="C122" t="s">
        <v>321</v>
      </c>
      <c r="D122">
        <f t="shared" si="4"/>
        <v>4947</v>
      </c>
      <c r="E122" t="str">
        <f t="shared" si="5"/>
        <v>0x1353=4947</v>
      </c>
    </row>
    <row r="123" spans="2:5">
      <c r="B123">
        <f t="shared" si="3"/>
        <v>121</v>
      </c>
      <c r="C123" t="s">
        <v>322</v>
      </c>
      <c r="D123">
        <f t="shared" si="4"/>
        <v>4948</v>
      </c>
      <c r="E123" t="str">
        <f t="shared" si="5"/>
        <v>0x1354=4948</v>
      </c>
    </row>
    <row r="124" spans="2:5">
      <c r="B124">
        <f t="shared" si="3"/>
        <v>122</v>
      </c>
      <c r="C124" t="s">
        <v>323</v>
      </c>
      <c r="D124">
        <f t="shared" si="4"/>
        <v>4949</v>
      </c>
      <c r="E124" t="str">
        <f t="shared" si="5"/>
        <v>0x1355=4949</v>
      </c>
    </row>
    <row r="125" spans="2:5">
      <c r="B125">
        <f t="shared" si="3"/>
        <v>123</v>
      </c>
      <c r="C125" t="s">
        <v>324</v>
      </c>
      <c r="D125">
        <f t="shared" si="4"/>
        <v>4950</v>
      </c>
      <c r="E125" t="str">
        <f t="shared" si="5"/>
        <v>0x1356=4950</v>
      </c>
    </row>
    <row r="126" spans="2:5">
      <c r="B126">
        <f t="shared" si="3"/>
        <v>124</v>
      </c>
      <c r="C126" t="s">
        <v>325</v>
      </c>
      <c r="D126">
        <f t="shared" si="4"/>
        <v>4951</v>
      </c>
      <c r="E126" t="str">
        <f t="shared" si="5"/>
        <v>0x1357=4951</v>
      </c>
    </row>
    <row r="127" spans="2:5">
      <c r="B127">
        <f t="shared" si="3"/>
        <v>125</v>
      </c>
      <c r="C127" t="s">
        <v>326</v>
      </c>
      <c r="D127">
        <f t="shared" si="4"/>
        <v>4952</v>
      </c>
      <c r="E127" t="str">
        <f t="shared" si="5"/>
        <v>0x1358=4952</v>
      </c>
    </row>
    <row r="128" spans="2:5">
      <c r="B128">
        <f t="shared" si="3"/>
        <v>126</v>
      </c>
      <c r="C128" t="s">
        <v>327</v>
      </c>
      <c r="D128">
        <f t="shared" si="4"/>
        <v>4953</v>
      </c>
      <c r="E128" t="str">
        <f t="shared" si="5"/>
        <v>0x1359=4953</v>
      </c>
    </row>
    <row r="129" spans="2:5">
      <c r="B129">
        <f t="shared" si="3"/>
        <v>127</v>
      </c>
      <c r="C129" t="s">
        <v>328</v>
      </c>
      <c r="D129">
        <f t="shared" si="4"/>
        <v>4960</v>
      </c>
      <c r="E129" t="str">
        <f t="shared" si="5"/>
        <v>0x1360=4960</v>
      </c>
    </row>
    <row r="130" spans="2:5">
      <c r="B130">
        <f t="shared" si="3"/>
        <v>128</v>
      </c>
      <c r="C130" t="s">
        <v>329</v>
      </c>
      <c r="D130">
        <f t="shared" si="4"/>
        <v>4961</v>
      </c>
      <c r="E130" t="str">
        <f t="shared" si="5"/>
        <v>0x1361=4961</v>
      </c>
    </row>
    <row r="131" spans="2:5">
      <c r="B131">
        <f t="shared" si="3"/>
        <v>129</v>
      </c>
      <c r="C131" t="s">
        <v>330</v>
      </c>
      <c r="D131">
        <f t="shared" si="4"/>
        <v>4962</v>
      </c>
      <c r="E131" t="str">
        <f t="shared" si="5"/>
        <v>0x1362=4962</v>
      </c>
    </row>
    <row r="132" spans="2:5">
      <c r="B132">
        <f t="shared" ref="B132:B195" si="6">ROW()-2</f>
        <v>130</v>
      </c>
      <c r="C132" t="s">
        <v>331</v>
      </c>
      <c r="D132">
        <f t="shared" ref="D132:D195" si="7">HEX2DEC(RIGHT(C132,4))</f>
        <v>4963</v>
      </c>
      <c r="E132" t="str">
        <f t="shared" ref="E132:E195" si="8">C132&amp;"="&amp;D132</f>
        <v>0x1363=4963</v>
      </c>
    </row>
    <row r="133" spans="2:5">
      <c r="B133">
        <f t="shared" si="6"/>
        <v>131</v>
      </c>
      <c r="C133" t="s">
        <v>332</v>
      </c>
      <c r="D133">
        <f t="shared" si="7"/>
        <v>4964</v>
      </c>
      <c r="E133" t="str">
        <f t="shared" si="8"/>
        <v>0x1364=4964</v>
      </c>
    </row>
    <row r="134" spans="2:5">
      <c r="B134">
        <f t="shared" si="6"/>
        <v>132</v>
      </c>
      <c r="C134" t="s">
        <v>333</v>
      </c>
      <c r="D134">
        <f t="shared" si="7"/>
        <v>4965</v>
      </c>
      <c r="E134" t="str">
        <f t="shared" si="8"/>
        <v>0x1365=4965</v>
      </c>
    </row>
    <row r="135" spans="2:5">
      <c r="B135">
        <f t="shared" si="6"/>
        <v>133</v>
      </c>
      <c r="C135" t="s">
        <v>334</v>
      </c>
      <c r="D135">
        <f t="shared" si="7"/>
        <v>4966</v>
      </c>
      <c r="E135" t="str">
        <f t="shared" si="8"/>
        <v>0x1366=4966</v>
      </c>
    </row>
    <row r="136" spans="2:5">
      <c r="B136">
        <f t="shared" si="6"/>
        <v>134</v>
      </c>
      <c r="C136" t="s">
        <v>335</v>
      </c>
      <c r="D136">
        <f t="shared" si="7"/>
        <v>4967</v>
      </c>
      <c r="E136" t="str">
        <f t="shared" si="8"/>
        <v>0x1367=4967</v>
      </c>
    </row>
    <row r="137" spans="2:5">
      <c r="B137">
        <f t="shared" si="6"/>
        <v>135</v>
      </c>
      <c r="C137" t="s">
        <v>336</v>
      </c>
      <c r="D137">
        <f t="shared" si="7"/>
        <v>4968</v>
      </c>
      <c r="E137" t="str">
        <f t="shared" si="8"/>
        <v>0x1368=4968</v>
      </c>
    </row>
    <row r="138" spans="2:5">
      <c r="B138">
        <f t="shared" si="6"/>
        <v>136</v>
      </c>
      <c r="C138" t="s">
        <v>337</v>
      </c>
      <c r="D138">
        <f t="shared" si="7"/>
        <v>4969</v>
      </c>
      <c r="E138" t="str">
        <f t="shared" si="8"/>
        <v>0x1369=4969</v>
      </c>
    </row>
    <row r="139" spans="2:5">
      <c r="B139">
        <f t="shared" si="6"/>
        <v>137</v>
      </c>
      <c r="C139" t="s">
        <v>338</v>
      </c>
      <c r="D139">
        <f t="shared" si="7"/>
        <v>4976</v>
      </c>
      <c r="E139" t="str">
        <f t="shared" si="8"/>
        <v>0x1370=4976</v>
      </c>
    </row>
    <row r="140" spans="2:5">
      <c r="B140">
        <f t="shared" si="6"/>
        <v>138</v>
      </c>
      <c r="C140" t="s">
        <v>339</v>
      </c>
      <c r="D140">
        <f t="shared" si="7"/>
        <v>4977</v>
      </c>
      <c r="E140" t="str">
        <f t="shared" si="8"/>
        <v>0x1371=4977</v>
      </c>
    </row>
    <row r="141" spans="2:5">
      <c r="B141">
        <f t="shared" si="6"/>
        <v>139</v>
      </c>
      <c r="C141" t="s">
        <v>340</v>
      </c>
      <c r="D141">
        <f t="shared" si="7"/>
        <v>4978</v>
      </c>
      <c r="E141" t="str">
        <f t="shared" si="8"/>
        <v>0x1372=4978</v>
      </c>
    </row>
    <row r="142" spans="2:5">
      <c r="B142">
        <f t="shared" si="6"/>
        <v>140</v>
      </c>
      <c r="C142" t="s">
        <v>341</v>
      </c>
      <c r="D142">
        <f t="shared" si="7"/>
        <v>4979</v>
      </c>
      <c r="E142" t="str">
        <f t="shared" si="8"/>
        <v>0x1373=4979</v>
      </c>
    </row>
    <row r="143" spans="2:5">
      <c r="B143">
        <f t="shared" si="6"/>
        <v>141</v>
      </c>
      <c r="C143" t="s">
        <v>342</v>
      </c>
      <c r="D143">
        <f t="shared" si="7"/>
        <v>4980</v>
      </c>
      <c r="E143" t="str">
        <f t="shared" si="8"/>
        <v>0x1374=4980</v>
      </c>
    </row>
    <row r="144" spans="2:5">
      <c r="B144">
        <f t="shared" si="6"/>
        <v>142</v>
      </c>
      <c r="C144" t="s">
        <v>343</v>
      </c>
      <c r="D144">
        <f t="shared" si="7"/>
        <v>4981</v>
      </c>
      <c r="E144" t="str">
        <f t="shared" si="8"/>
        <v>0x1375=4981</v>
      </c>
    </row>
    <row r="145" spans="2:5">
      <c r="B145">
        <f t="shared" si="6"/>
        <v>143</v>
      </c>
      <c r="C145" t="s">
        <v>344</v>
      </c>
      <c r="D145">
        <f t="shared" si="7"/>
        <v>4982</v>
      </c>
      <c r="E145" t="str">
        <f t="shared" si="8"/>
        <v>0x1376=4982</v>
      </c>
    </row>
    <row r="146" spans="2:5">
      <c r="B146">
        <f t="shared" si="6"/>
        <v>144</v>
      </c>
      <c r="C146" t="s">
        <v>345</v>
      </c>
      <c r="D146">
        <f t="shared" si="7"/>
        <v>4983</v>
      </c>
      <c r="E146" t="str">
        <f t="shared" si="8"/>
        <v>0x1377=4983</v>
      </c>
    </row>
    <row r="147" spans="2:5">
      <c r="B147">
        <f t="shared" si="6"/>
        <v>145</v>
      </c>
      <c r="C147" t="s">
        <v>346</v>
      </c>
      <c r="D147">
        <f t="shared" si="7"/>
        <v>4984</v>
      </c>
      <c r="E147" t="str">
        <f t="shared" si="8"/>
        <v>0x1378=4984</v>
      </c>
    </row>
    <row r="148" spans="2:5">
      <c r="B148">
        <f t="shared" si="6"/>
        <v>146</v>
      </c>
      <c r="C148" t="s">
        <v>347</v>
      </c>
      <c r="D148">
        <f t="shared" si="7"/>
        <v>4985</v>
      </c>
      <c r="E148" t="str">
        <f t="shared" si="8"/>
        <v>0x1379=4985</v>
      </c>
    </row>
    <row r="149" spans="2:5">
      <c r="B149">
        <f t="shared" si="6"/>
        <v>147</v>
      </c>
      <c r="C149" t="s">
        <v>348</v>
      </c>
      <c r="D149">
        <f t="shared" si="7"/>
        <v>4992</v>
      </c>
      <c r="E149" t="str">
        <f t="shared" si="8"/>
        <v>0x1380=4992</v>
      </c>
    </row>
    <row r="150" spans="2:5">
      <c r="B150">
        <f t="shared" si="6"/>
        <v>148</v>
      </c>
      <c r="C150" t="s">
        <v>349</v>
      </c>
      <c r="D150">
        <f t="shared" si="7"/>
        <v>4993</v>
      </c>
      <c r="E150" t="str">
        <f t="shared" si="8"/>
        <v>0x1381=4993</v>
      </c>
    </row>
    <row r="151" spans="2:5">
      <c r="B151">
        <f t="shared" si="6"/>
        <v>149</v>
      </c>
      <c r="C151" t="s">
        <v>350</v>
      </c>
      <c r="D151">
        <f t="shared" si="7"/>
        <v>4994</v>
      </c>
      <c r="E151" t="str">
        <f t="shared" si="8"/>
        <v>0x1382=4994</v>
      </c>
    </row>
    <row r="152" spans="2:5">
      <c r="B152">
        <f t="shared" si="6"/>
        <v>150</v>
      </c>
      <c r="C152" t="s">
        <v>351</v>
      </c>
      <c r="D152">
        <f t="shared" si="7"/>
        <v>4995</v>
      </c>
      <c r="E152" t="str">
        <f t="shared" si="8"/>
        <v>0x1383=4995</v>
      </c>
    </row>
    <row r="153" spans="2:5">
      <c r="B153">
        <f t="shared" si="6"/>
        <v>151</v>
      </c>
      <c r="C153" t="s">
        <v>352</v>
      </c>
      <c r="D153">
        <f t="shared" si="7"/>
        <v>4996</v>
      </c>
      <c r="E153" t="str">
        <f t="shared" si="8"/>
        <v>0x1384=4996</v>
      </c>
    </row>
    <row r="154" spans="2:5">
      <c r="B154">
        <f t="shared" si="6"/>
        <v>152</v>
      </c>
      <c r="C154" t="s">
        <v>353</v>
      </c>
      <c r="D154">
        <f t="shared" si="7"/>
        <v>4997</v>
      </c>
      <c r="E154" t="str">
        <f t="shared" si="8"/>
        <v>0x1385=4997</v>
      </c>
    </row>
    <row r="155" spans="2:5">
      <c r="B155">
        <f t="shared" si="6"/>
        <v>153</v>
      </c>
      <c r="C155" t="s">
        <v>354</v>
      </c>
      <c r="D155">
        <f t="shared" si="7"/>
        <v>4998</v>
      </c>
      <c r="E155" t="str">
        <f t="shared" si="8"/>
        <v>0x1386=4998</v>
      </c>
    </row>
    <row r="156" spans="2:5">
      <c r="B156">
        <f t="shared" si="6"/>
        <v>154</v>
      </c>
      <c r="C156" t="s">
        <v>355</v>
      </c>
      <c r="D156">
        <f t="shared" si="7"/>
        <v>4999</v>
      </c>
      <c r="E156" t="str">
        <f t="shared" si="8"/>
        <v>0x1387=4999</v>
      </c>
    </row>
    <row r="157" spans="2:5">
      <c r="B157">
        <f t="shared" si="6"/>
        <v>155</v>
      </c>
      <c r="C157" t="s">
        <v>356</v>
      </c>
      <c r="D157">
        <f t="shared" si="7"/>
        <v>5000</v>
      </c>
      <c r="E157" t="str">
        <f t="shared" si="8"/>
        <v>0x1388=5000</v>
      </c>
    </row>
    <row r="158" spans="2:5">
      <c r="B158">
        <f t="shared" si="6"/>
        <v>156</v>
      </c>
      <c r="C158" t="s">
        <v>357</v>
      </c>
      <c r="D158">
        <f t="shared" si="7"/>
        <v>5001</v>
      </c>
      <c r="E158" t="str">
        <f t="shared" si="8"/>
        <v>0x1389=5001</v>
      </c>
    </row>
    <row r="159" spans="2:5">
      <c r="B159">
        <f t="shared" si="6"/>
        <v>157</v>
      </c>
      <c r="C159" t="s">
        <v>358</v>
      </c>
      <c r="D159">
        <f t="shared" si="7"/>
        <v>5008</v>
      </c>
      <c r="E159" t="str">
        <f t="shared" si="8"/>
        <v>0x1390=5008</v>
      </c>
    </row>
    <row r="160" spans="2:5">
      <c r="B160">
        <f t="shared" si="6"/>
        <v>158</v>
      </c>
      <c r="C160" t="s">
        <v>359</v>
      </c>
      <c r="D160">
        <f t="shared" si="7"/>
        <v>5009</v>
      </c>
      <c r="E160" t="str">
        <f t="shared" si="8"/>
        <v>0x1391=5009</v>
      </c>
    </row>
    <row r="161" spans="2:5">
      <c r="B161">
        <f t="shared" si="6"/>
        <v>159</v>
      </c>
      <c r="C161" t="s">
        <v>360</v>
      </c>
      <c r="D161">
        <f t="shared" si="7"/>
        <v>5010</v>
      </c>
      <c r="E161" t="str">
        <f t="shared" si="8"/>
        <v>0x1392=5010</v>
      </c>
    </row>
    <row r="162" spans="2:5">
      <c r="B162">
        <f t="shared" si="6"/>
        <v>160</v>
      </c>
      <c r="C162" t="s">
        <v>361</v>
      </c>
      <c r="D162">
        <f t="shared" si="7"/>
        <v>5011</v>
      </c>
      <c r="E162" t="str">
        <f t="shared" si="8"/>
        <v>0x1393=5011</v>
      </c>
    </row>
    <row r="163" spans="2:5">
      <c r="B163">
        <f t="shared" si="6"/>
        <v>161</v>
      </c>
      <c r="C163" t="s">
        <v>362</v>
      </c>
      <c r="D163">
        <f t="shared" si="7"/>
        <v>5012</v>
      </c>
      <c r="E163" t="str">
        <f t="shared" si="8"/>
        <v>0x1394=5012</v>
      </c>
    </row>
    <row r="164" spans="2:5">
      <c r="B164">
        <f t="shared" si="6"/>
        <v>162</v>
      </c>
      <c r="C164" t="s">
        <v>363</v>
      </c>
      <c r="D164">
        <f t="shared" si="7"/>
        <v>5013</v>
      </c>
      <c r="E164" t="str">
        <f t="shared" si="8"/>
        <v>0x1395=5013</v>
      </c>
    </row>
    <row r="165" spans="2:5">
      <c r="B165">
        <f t="shared" si="6"/>
        <v>163</v>
      </c>
      <c r="C165" t="s">
        <v>364</v>
      </c>
      <c r="D165">
        <f t="shared" si="7"/>
        <v>5014</v>
      </c>
      <c r="E165" t="str">
        <f t="shared" si="8"/>
        <v>0x1396=5014</v>
      </c>
    </row>
    <row r="166" spans="2:5">
      <c r="B166">
        <f t="shared" si="6"/>
        <v>164</v>
      </c>
      <c r="C166" t="s">
        <v>365</v>
      </c>
      <c r="D166">
        <f t="shared" si="7"/>
        <v>5015</v>
      </c>
      <c r="E166" t="str">
        <f t="shared" si="8"/>
        <v>0x1397=5015</v>
      </c>
    </row>
    <row r="167" spans="2:5">
      <c r="B167">
        <f t="shared" si="6"/>
        <v>165</v>
      </c>
      <c r="C167" t="s">
        <v>366</v>
      </c>
      <c r="D167">
        <f t="shared" si="7"/>
        <v>5016</v>
      </c>
      <c r="E167" t="str">
        <f t="shared" si="8"/>
        <v>0x1398=5016</v>
      </c>
    </row>
    <row r="168" spans="2:5">
      <c r="B168">
        <f t="shared" si="6"/>
        <v>166</v>
      </c>
      <c r="C168" t="s">
        <v>367</v>
      </c>
      <c r="D168">
        <f t="shared" si="7"/>
        <v>5017</v>
      </c>
      <c r="E168" t="str">
        <f t="shared" si="8"/>
        <v>0x1399=5017</v>
      </c>
    </row>
    <row r="169" spans="2:5">
      <c r="B169">
        <f t="shared" si="6"/>
        <v>167</v>
      </c>
      <c r="C169" t="s">
        <v>368</v>
      </c>
      <c r="D169">
        <f t="shared" si="7"/>
        <v>5120</v>
      </c>
      <c r="E169" t="str">
        <f t="shared" si="8"/>
        <v>0x1400=5120</v>
      </c>
    </row>
    <row r="170" spans="2:5">
      <c r="B170">
        <f t="shared" si="6"/>
        <v>168</v>
      </c>
      <c r="C170" t="s">
        <v>369</v>
      </c>
      <c r="D170">
        <f t="shared" si="7"/>
        <v>5121</v>
      </c>
      <c r="E170" t="str">
        <f t="shared" si="8"/>
        <v>0x1401=5121</v>
      </c>
    </row>
    <row r="171" spans="2:5">
      <c r="B171">
        <f t="shared" si="6"/>
        <v>169</v>
      </c>
      <c r="C171" t="s">
        <v>370</v>
      </c>
      <c r="D171">
        <f t="shared" si="7"/>
        <v>5122</v>
      </c>
      <c r="E171" t="str">
        <f t="shared" si="8"/>
        <v>0x1402=5122</v>
      </c>
    </row>
    <row r="172" spans="2:5">
      <c r="B172">
        <f t="shared" si="6"/>
        <v>170</v>
      </c>
      <c r="C172" t="s">
        <v>371</v>
      </c>
      <c r="D172">
        <f t="shared" si="7"/>
        <v>5123</v>
      </c>
      <c r="E172" t="str">
        <f t="shared" si="8"/>
        <v>0x1403=5123</v>
      </c>
    </row>
    <row r="173" spans="2:5">
      <c r="B173">
        <f t="shared" si="6"/>
        <v>171</v>
      </c>
      <c r="C173" t="s">
        <v>372</v>
      </c>
      <c r="D173">
        <f t="shared" si="7"/>
        <v>5124</v>
      </c>
      <c r="E173" t="str">
        <f t="shared" si="8"/>
        <v>0x1404=5124</v>
      </c>
    </row>
    <row r="174" spans="2:5">
      <c r="B174">
        <f t="shared" si="6"/>
        <v>172</v>
      </c>
      <c r="C174" t="s">
        <v>373</v>
      </c>
      <c r="D174">
        <f t="shared" si="7"/>
        <v>5125</v>
      </c>
      <c r="E174" t="str">
        <f t="shared" si="8"/>
        <v>0x1405=5125</v>
      </c>
    </row>
    <row r="175" spans="2:5">
      <c r="B175">
        <f t="shared" si="6"/>
        <v>173</v>
      </c>
      <c r="C175" t="s">
        <v>374</v>
      </c>
      <c r="D175">
        <f t="shared" si="7"/>
        <v>5126</v>
      </c>
      <c r="E175" t="str">
        <f t="shared" si="8"/>
        <v>0x1406=5126</v>
      </c>
    </row>
    <row r="176" spans="2:5">
      <c r="B176">
        <f t="shared" si="6"/>
        <v>174</v>
      </c>
      <c r="C176" t="s">
        <v>375</v>
      </c>
      <c r="D176">
        <f t="shared" si="7"/>
        <v>5127</v>
      </c>
      <c r="E176" t="str">
        <f t="shared" si="8"/>
        <v>0x1407=5127</v>
      </c>
    </row>
    <row r="177" spans="2:5">
      <c r="B177">
        <f t="shared" si="6"/>
        <v>175</v>
      </c>
      <c r="C177" t="s">
        <v>376</v>
      </c>
      <c r="D177">
        <f t="shared" si="7"/>
        <v>5128</v>
      </c>
      <c r="E177" t="str">
        <f t="shared" si="8"/>
        <v>0x1408=5128</v>
      </c>
    </row>
    <row r="178" spans="2:5">
      <c r="B178">
        <f t="shared" si="6"/>
        <v>176</v>
      </c>
      <c r="C178" t="s">
        <v>377</v>
      </c>
      <c r="D178">
        <f t="shared" si="7"/>
        <v>5129</v>
      </c>
      <c r="E178" t="str">
        <f t="shared" si="8"/>
        <v>0x1409=5129</v>
      </c>
    </row>
    <row r="179" spans="2:5">
      <c r="B179">
        <f t="shared" si="6"/>
        <v>177</v>
      </c>
      <c r="C179" t="s">
        <v>378</v>
      </c>
      <c r="D179">
        <f t="shared" si="7"/>
        <v>5136</v>
      </c>
      <c r="E179" t="str">
        <f t="shared" si="8"/>
        <v>0x1410=5136</v>
      </c>
    </row>
    <row r="180" spans="2:5">
      <c r="B180">
        <f t="shared" si="6"/>
        <v>178</v>
      </c>
      <c r="C180" t="s">
        <v>379</v>
      </c>
      <c r="D180">
        <f t="shared" si="7"/>
        <v>5137</v>
      </c>
      <c r="E180" t="str">
        <f t="shared" si="8"/>
        <v>0x1411=5137</v>
      </c>
    </row>
    <row r="181" spans="2:5">
      <c r="B181">
        <f t="shared" si="6"/>
        <v>179</v>
      </c>
      <c r="C181" t="s">
        <v>380</v>
      </c>
      <c r="D181">
        <f t="shared" si="7"/>
        <v>5138</v>
      </c>
      <c r="E181" t="str">
        <f t="shared" si="8"/>
        <v>0x1412=5138</v>
      </c>
    </row>
    <row r="182" spans="2:5">
      <c r="B182">
        <f t="shared" si="6"/>
        <v>180</v>
      </c>
      <c r="C182" t="s">
        <v>381</v>
      </c>
      <c r="D182">
        <f t="shared" si="7"/>
        <v>5139</v>
      </c>
      <c r="E182" t="str">
        <f t="shared" si="8"/>
        <v>0x1413=5139</v>
      </c>
    </row>
    <row r="183" spans="2:5">
      <c r="B183">
        <f t="shared" si="6"/>
        <v>181</v>
      </c>
      <c r="C183" t="s">
        <v>382</v>
      </c>
      <c r="D183">
        <f t="shared" si="7"/>
        <v>5140</v>
      </c>
      <c r="E183" t="str">
        <f t="shared" si="8"/>
        <v>0x1414=5140</v>
      </c>
    </row>
    <row r="184" spans="2:5">
      <c r="B184">
        <f t="shared" si="6"/>
        <v>182</v>
      </c>
      <c r="C184" t="s">
        <v>383</v>
      </c>
      <c r="D184">
        <f t="shared" si="7"/>
        <v>5141</v>
      </c>
      <c r="E184" t="str">
        <f t="shared" si="8"/>
        <v>0x1415=5141</v>
      </c>
    </row>
    <row r="185" spans="2:5">
      <c r="B185">
        <f t="shared" si="6"/>
        <v>183</v>
      </c>
      <c r="C185" t="s">
        <v>384</v>
      </c>
      <c r="D185">
        <f t="shared" si="7"/>
        <v>5142</v>
      </c>
      <c r="E185" t="str">
        <f t="shared" si="8"/>
        <v>0x1416=5142</v>
      </c>
    </row>
    <row r="186" spans="2:5">
      <c r="B186">
        <f t="shared" si="6"/>
        <v>184</v>
      </c>
      <c r="C186" t="s">
        <v>385</v>
      </c>
      <c r="D186">
        <f t="shared" si="7"/>
        <v>5143</v>
      </c>
      <c r="E186" t="str">
        <f t="shared" si="8"/>
        <v>0x1417=5143</v>
      </c>
    </row>
    <row r="187" spans="2:5">
      <c r="B187">
        <f t="shared" si="6"/>
        <v>185</v>
      </c>
      <c r="C187" t="s">
        <v>386</v>
      </c>
      <c r="D187">
        <f t="shared" si="7"/>
        <v>5144</v>
      </c>
      <c r="E187" t="str">
        <f t="shared" si="8"/>
        <v>0x1418=5144</v>
      </c>
    </row>
    <row r="188" spans="2:5">
      <c r="B188">
        <f t="shared" si="6"/>
        <v>186</v>
      </c>
      <c r="C188" t="s">
        <v>387</v>
      </c>
      <c r="D188">
        <f t="shared" si="7"/>
        <v>5145</v>
      </c>
      <c r="E188" t="str">
        <f t="shared" si="8"/>
        <v>0x1419=5145</v>
      </c>
    </row>
    <row r="189" spans="2:5">
      <c r="B189">
        <f t="shared" si="6"/>
        <v>187</v>
      </c>
      <c r="C189" t="s">
        <v>388</v>
      </c>
      <c r="D189">
        <f t="shared" si="7"/>
        <v>5152</v>
      </c>
      <c r="E189" t="str">
        <f t="shared" si="8"/>
        <v>0x1420=5152</v>
      </c>
    </row>
    <row r="190" spans="2:5">
      <c r="B190">
        <f t="shared" si="6"/>
        <v>188</v>
      </c>
      <c r="C190" t="s">
        <v>389</v>
      </c>
      <c r="D190">
        <f t="shared" si="7"/>
        <v>5153</v>
      </c>
      <c r="E190" t="str">
        <f t="shared" si="8"/>
        <v>0x1421=5153</v>
      </c>
    </row>
    <row r="191" spans="2:5">
      <c r="B191">
        <f t="shared" si="6"/>
        <v>189</v>
      </c>
      <c r="C191" t="s">
        <v>390</v>
      </c>
      <c r="D191">
        <f t="shared" si="7"/>
        <v>5154</v>
      </c>
      <c r="E191" t="str">
        <f t="shared" si="8"/>
        <v>0x1422=5154</v>
      </c>
    </row>
    <row r="192" spans="2:5">
      <c r="B192">
        <f t="shared" si="6"/>
        <v>190</v>
      </c>
      <c r="C192" t="s">
        <v>391</v>
      </c>
      <c r="D192">
        <f t="shared" si="7"/>
        <v>5155</v>
      </c>
      <c r="E192" t="str">
        <f t="shared" si="8"/>
        <v>0x1423=5155</v>
      </c>
    </row>
    <row r="193" spans="2:5">
      <c r="B193">
        <f t="shared" si="6"/>
        <v>191</v>
      </c>
      <c r="C193" t="s">
        <v>392</v>
      </c>
      <c r="D193">
        <f t="shared" si="7"/>
        <v>5156</v>
      </c>
      <c r="E193" t="str">
        <f t="shared" si="8"/>
        <v>0x1424=5156</v>
      </c>
    </row>
    <row r="194" spans="2:5">
      <c r="B194">
        <f t="shared" si="6"/>
        <v>192</v>
      </c>
      <c r="C194" t="s">
        <v>393</v>
      </c>
      <c r="D194">
        <f t="shared" si="7"/>
        <v>5157</v>
      </c>
      <c r="E194" t="str">
        <f t="shared" si="8"/>
        <v>0x1425=5157</v>
      </c>
    </row>
    <row r="195" spans="2:5">
      <c r="B195">
        <f t="shared" si="6"/>
        <v>193</v>
      </c>
      <c r="C195" t="s">
        <v>394</v>
      </c>
      <c r="D195">
        <f t="shared" si="7"/>
        <v>5158</v>
      </c>
      <c r="E195" t="str">
        <f t="shared" si="8"/>
        <v>0x1426=5158</v>
      </c>
    </row>
    <row r="196" spans="2:5">
      <c r="B196">
        <f t="shared" ref="B196:B206" si="9">ROW()-2</f>
        <v>194</v>
      </c>
      <c r="C196" t="s">
        <v>395</v>
      </c>
      <c r="D196">
        <f t="shared" ref="D196:D206" si="10">HEX2DEC(RIGHT(C196,4))</f>
        <v>5159</v>
      </c>
      <c r="E196" t="str">
        <f t="shared" ref="E196:E206" si="11">C196&amp;"="&amp;D196</f>
        <v>0x1427=5159</v>
      </c>
    </row>
    <row r="197" spans="2:5">
      <c r="B197">
        <f t="shared" si="9"/>
        <v>195</v>
      </c>
      <c r="C197" t="s">
        <v>396</v>
      </c>
      <c r="D197">
        <f t="shared" si="10"/>
        <v>5160</v>
      </c>
      <c r="E197" t="str">
        <f t="shared" si="11"/>
        <v>0x1428=5160</v>
      </c>
    </row>
    <row r="198" spans="2:5">
      <c r="B198">
        <f t="shared" si="9"/>
        <v>196</v>
      </c>
      <c r="C198" t="s">
        <v>397</v>
      </c>
      <c r="D198">
        <f t="shared" si="10"/>
        <v>5161</v>
      </c>
      <c r="E198" t="str">
        <f t="shared" si="11"/>
        <v>0x1429=5161</v>
      </c>
    </row>
    <row r="199" spans="2:5">
      <c r="B199">
        <f t="shared" si="9"/>
        <v>197</v>
      </c>
      <c r="C199" t="s">
        <v>398</v>
      </c>
      <c r="D199">
        <f t="shared" si="10"/>
        <v>5168</v>
      </c>
      <c r="E199" t="str">
        <f t="shared" si="11"/>
        <v>0x1430=5168</v>
      </c>
    </row>
    <row r="200" spans="2:5">
      <c r="B200">
        <f t="shared" si="9"/>
        <v>198</v>
      </c>
      <c r="C200" t="s">
        <v>399</v>
      </c>
      <c r="D200">
        <f t="shared" si="10"/>
        <v>5169</v>
      </c>
      <c r="E200" t="str">
        <f t="shared" si="11"/>
        <v>0x1431=5169</v>
      </c>
    </row>
    <row r="201" spans="2:5">
      <c r="B201">
        <f t="shared" si="9"/>
        <v>199</v>
      </c>
      <c r="C201" t="s">
        <v>400</v>
      </c>
      <c r="D201">
        <f t="shared" si="10"/>
        <v>5170</v>
      </c>
      <c r="E201" t="str">
        <f t="shared" si="11"/>
        <v>0x1432=5170</v>
      </c>
    </row>
    <row r="202" spans="2:5">
      <c r="B202">
        <f t="shared" si="9"/>
        <v>200</v>
      </c>
      <c r="C202" t="s">
        <v>401</v>
      </c>
      <c r="D202">
        <f t="shared" si="10"/>
        <v>5171</v>
      </c>
      <c r="E202" t="str">
        <f t="shared" si="11"/>
        <v>0x1433=5171</v>
      </c>
    </row>
    <row r="203" spans="2:5">
      <c r="B203">
        <f t="shared" si="9"/>
        <v>201</v>
      </c>
      <c r="C203" t="s">
        <v>402</v>
      </c>
      <c r="D203">
        <f t="shared" si="10"/>
        <v>5172</v>
      </c>
      <c r="E203" t="str">
        <f t="shared" si="11"/>
        <v>0x1434=5172</v>
      </c>
    </row>
    <row r="204" spans="2:5">
      <c r="B204">
        <f t="shared" si="9"/>
        <v>202</v>
      </c>
      <c r="C204" t="s">
        <v>403</v>
      </c>
      <c r="D204">
        <f t="shared" si="10"/>
        <v>5173</v>
      </c>
      <c r="E204" t="str">
        <f t="shared" si="11"/>
        <v>0x1435=5173</v>
      </c>
    </row>
    <row r="205" spans="2:5">
      <c r="B205">
        <f t="shared" si="9"/>
        <v>203</v>
      </c>
      <c r="C205" t="s">
        <v>404</v>
      </c>
      <c r="D205">
        <f t="shared" si="10"/>
        <v>5174</v>
      </c>
      <c r="E205" t="str">
        <f t="shared" si="11"/>
        <v>0x1436=5174</v>
      </c>
    </row>
    <row r="206" spans="2:5">
      <c r="B206">
        <f t="shared" si="9"/>
        <v>204</v>
      </c>
      <c r="C206" t="s">
        <v>405</v>
      </c>
      <c r="D206">
        <f t="shared" si="10"/>
        <v>5175</v>
      </c>
      <c r="E206" t="str">
        <f t="shared" si="11"/>
        <v>0x1437=5175</v>
      </c>
    </row>
  </sheetData>
  <phoneticPr fontId="1"/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E2A37E-F100-4557-BF76-250823202AC8}">
  <sheetPr codeName="Sheet17"/>
  <dimension ref="B2"/>
  <sheetViews>
    <sheetView workbookViewId="0">
      <selection activeCell="B3" sqref="B3"/>
    </sheetView>
  </sheetViews>
  <sheetFormatPr defaultRowHeight="18.75"/>
  <sheetData>
    <row r="2" spans="2:2">
      <c r="B2" t="s">
        <v>104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21</vt:i4>
      </vt:variant>
      <vt:variant>
        <vt:lpstr>グラフ</vt:lpstr>
      </vt:variant>
      <vt:variant>
        <vt:i4>1</vt:i4>
      </vt:variant>
      <vt:variant>
        <vt:lpstr>名前付き一覧</vt:lpstr>
      </vt:variant>
      <vt:variant>
        <vt:i4>6</vt:i4>
      </vt:variant>
    </vt:vector>
  </HeadingPairs>
  <TitlesOfParts>
    <vt:vector size="28" baseType="lpstr">
      <vt:lpstr>NoneSheet</vt:lpstr>
      <vt:lpstr>目次</vt:lpstr>
      <vt:lpstr>TopLeft</vt:lpstr>
      <vt:lpstr>テキストシート</vt:lpstr>
      <vt:lpstr>Shapes</vt:lpstr>
      <vt:lpstr>Sequence</vt:lpstr>
      <vt:lpstr>表と式</vt:lpstr>
      <vt:lpstr>シート名にコメントを</vt:lpstr>
      <vt:lpstr>罫線</vt:lpstr>
      <vt:lpstr>表とグラフ</vt:lpstr>
      <vt:lpstr>一覧表</vt:lpstr>
      <vt:lpstr>リンク</vt:lpstr>
      <vt:lpstr>名前</vt:lpstr>
      <vt:lpstr>オートフィルタ</vt:lpstr>
      <vt:lpstr>テーブル</vt:lpstr>
      <vt:lpstr>マクロ</vt:lpstr>
      <vt:lpstr>グループ化</vt:lpstr>
      <vt:lpstr>画像</vt:lpstr>
      <vt:lpstr>Samples</vt:lpstr>
      <vt:lpstr>縦長</vt:lpstr>
      <vt:lpstr>非表示シート</vt:lpstr>
      <vt:lpstr>グラフのみのシート</vt:lpstr>
      <vt:lpstr>名前!_C3</vt:lpstr>
      <vt:lpstr>Sequence!Print_Area</vt:lpstr>
      <vt:lpstr>テキストシート!Print_Area</vt:lpstr>
      <vt:lpstr>名前!Print_Area</vt:lpstr>
      <vt:lpstr>名前シートのA1です</vt:lpstr>
      <vt:lpstr>名前シートのB2です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tkubota</dc:creator>
  <cp:lastModifiedBy>達也 久保田</cp:lastModifiedBy>
  <cp:lastPrinted>2026-06-08T16:29:32Z</cp:lastPrinted>
  <dcterms:created xsi:type="dcterms:W3CDTF">2015-06-05T18:19:34Z</dcterms:created>
  <dcterms:modified xsi:type="dcterms:W3CDTF">2026-08-02T13:18:15Z</dcterms:modified>
</cp:coreProperties>
</file>