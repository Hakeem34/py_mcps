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src\tools\py_mcps\py_mcps\sample\"/>
    </mc:Choice>
  </mc:AlternateContent>
  <xr:revisionPtr revIDLastSave="0" documentId="13_ncr:1_{099A38AE-E273-4043-9EC4-8D0C6BDA5DCB}" xr6:coauthVersionLast="47" xr6:coauthVersionMax="47" xr10:uidLastSave="{00000000-0000-0000-0000-000000000000}"/>
  <bookViews>
    <workbookView xWindow="-120" yWindow="-120" windowWidth="29040" windowHeight="15720" firstSheet="7" activeTab="13" xr2:uid="{00000000-000D-0000-FFFF-FFFF00000000}"/>
  </bookViews>
  <sheets>
    <sheet name="NoneSheet" sheetId="1" r:id="rId1"/>
    <sheet name="目次" sheetId="8" r:id="rId2"/>
    <sheet name="TopLeft" sheetId="2" r:id="rId3"/>
    <sheet name="テキストシート" sheetId="3" r:id="rId4"/>
    <sheet name="Shapes" sheetId="4" r:id="rId5"/>
    <sheet name="Sequence" sheetId="11" r:id="rId6"/>
    <sheet name="表と式" sheetId="5" r:id="rId7"/>
    <sheet name="シート名にコメントを" sheetId="6" r:id="rId8"/>
    <sheet name="罫線" sheetId="19" r:id="rId9"/>
    <sheet name="グラフのみのシート" sheetId="10" r:id="rId10"/>
    <sheet name="表とグラフ" sheetId="7" r:id="rId11"/>
    <sheet name="一覧表" sheetId="9" r:id="rId12"/>
    <sheet name="リンク" sheetId="12" r:id="rId13"/>
    <sheet name="名前" sheetId="13" r:id="rId14"/>
    <sheet name="オートフィルタ" sheetId="15" r:id="rId15"/>
    <sheet name="テーブル" sheetId="16" r:id="rId16"/>
    <sheet name="マクロ" sheetId="17" r:id="rId17"/>
    <sheet name="グループ化" sheetId="18" r:id="rId18"/>
    <sheet name="画像" sheetId="20" r:id="rId19"/>
    <sheet name="Samples" sheetId="21" r:id="rId20"/>
    <sheet name="非表示シート" sheetId="14" state="hidden" r:id="rId21"/>
  </sheets>
  <externalReferences>
    <externalReference r:id="rId22"/>
  </externalReferences>
  <definedNames>
    <definedName name="_C3" comment="コメント" localSheetId="13">名前!$C$3</definedName>
    <definedName name="_xlnm._FilterDatabase" localSheetId="14" hidden="1">オートフィルタ!$B$2:$G$22</definedName>
    <definedName name="_xlnm._FilterDatabase" localSheetId="15" hidden="1">テーブル!$B$2:$F$2</definedName>
    <definedName name="_xlnm.Print_Area" localSheetId="5">Sequence!$A$1:$BD$34</definedName>
    <definedName name="_xlnm.Print_Area" localSheetId="3">テキストシート!$A$1:$L$11</definedName>
    <definedName name="_xlnm.Print_Area" localSheetId="13">名前!$A$1:$H$25</definedName>
    <definedName name="コメントという名前を定義" comment="コメントにコメントしてみる">"コメント"</definedName>
    <definedName name="現在日付" comment="現在の日付を返します">TODAY()</definedName>
    <definedName name="名前シートのA1です">名前!$A$1</definedName>
    <definedName name="名前シートのB2です">名前!$B$2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4" i="17" l="1"/>
  <c r="E9" i="13"/>
  <c r="B4" i="12"/>
  <c r="H19" i="5"/>
  <c r="H18" i="5"/>
  <c r="H17" i="5"/>
  <c r="H16" i="5"/>
  <c r="H15" i="5"/>
  <c r="H14" i="5"/>
  <c r="H13" i="5"/>
  <c r="I21" i="9"/>
  <c r="H21" i="9"/>
  <c r="I20" i="9"/>
  <c r="H20" i="9"/>
  <c r="I19" i="9"/>
  <c r="H19" i="9"/>
  <c r="I18" i="9"/>
  <c r="H18" i="9"/>
  <c r="C15" i="9"/>
  <c r="C14" i="9"/>
  <c r="C13" i="9"/>
  <c r="C12" i="9"/>
  <c r="C11" i="9"/>
  <c r="C10" i="9"/>
  <c r="C9" i="9"/>
  <c r="C8" i="9"/>
  <c r="C7" i="9"/>
  <c r="C6" i="9"/>
  <c r="C5" i="9"/>
  <c r="H6" i="5"/>
  <c r="C13" i="5"/>
  <c r="H5" i="5"/>
  <c r="H4" i="5"/>
  <c r="C6" i="5"/>
  <c r="C5" i="5"/>
  <c r="C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tkubota</author>
  </authors>
  <commentList>
    <comment ref="D18" authorId="0" shapeId="0" xr:uid="{5AECD92D-3BF7-4D9B-8ED4-5C57E2D348E8}">
      <text>
        <r>
          <rPr>
            <b/>
            <sz val="9"/>
            <color indexed="81"/>
            <rFont val="MS P ゴシック"/>
            <family val="3"/>
            <charset val="128"/>
          </rPr>
          <t>ふぐた：コメント</t>
        </r>
      </text>
    </comment>
    <comment ref="D19" authorId="0" shapeId="0" xr:uid="{96FBC145-4ED2-4428-813C-22ABF3D786A1}">
      <text>
        <r>
          <rPr>
            <b/>
            <sz val="9"/>
            <color indexed="81"/>
            <rFont val="MS P ゴシック"/>
            <family val="3"/>
            <charset val="128"/>
          </rPr>
          <t>あなご：ふぐたくーん</t>
        </r>
      </text>
    </comment>
    <comment ref="D20" authorId="0" shapeId="0" xr:uid="{8258A971-1F60-4A78-A94B-9EA6FD176ED1}">
      <text>
        <r>
          <rPr>
            <b/>
            <sz val="9"/>
            <color indexed="81"/>
            <rFont val="MS P ゴシック"/>
            <family val="3"/>
            <charset val="128"/>
          </rPr>
          <t>はなざわ：
こめんと
コメントです
Comment</t>
        </r>
      </text>
    </comment>
  </commentList>
</comments>
</file>

<file path=xl/sharedStrings.xml><?xml version="1.0" encoding="utf-8"?>
<sst xmlns="http://schemas.openxmlformats.org/spreadsheetml/2006/main" count="312" uniqueCount="194">
  <si>
    <t>見出し</t>
    <rPh sb="0" eb="2">
      <t>ミダ</t>
    </rPh>
    <phoneticPr fontId="1"/>
  </si>
  <si>
    <t>非表示</t>
    <rPh sb="0" eb="3">
      <t>ヒヒョウジ</t>
    </rPh>
    <phoneticPr fontId="1"/>
  </si>
  <si>
    <t>この行も非表示</t>
    <rPh sb="2" eb="3">
      <t>ギョウ</t>
    </rPh>
    <rPh sb="4" eb="7">
      <t>ヒヒョウジ</t>
    </rPh>
    <phoneticPr fontId="1"/>
  </si>
  <si>
    <t>テキストシート</t>
    <phoneticPr fontId="1"/>
  </si>
  <si>
    <t>目的</t>
    <rPh sb="0" eb="2">
      <t>モクテキ</t>
    </rPh>
    <phoneticPr fontId="1"/>
  </si>
  <si>
    <t>目次</t>
    <rPh sb="0" eb="2">
      <t>モクジ</t>
    </rPh>
    <phoneticPr fontId="1"/>
  </si>
  <si>
    <t>概略</t>
    <rPh sb="0" eb="2">
      <t>ガイリャク</t>
    </rPh>
    <phoneticPr fontId="1"/>
  </si>
  <si>
    <t>コメント</t>
    <phoneticPr fontId="1"/>
  </si>
  <si>
    <t>装飾文字です１</t>
    <rPh sb="0" eb="2">
      <t>ソウショク</t>
    </rPh>
    <rPh sb="2" eb="4">
      <t>モジ</t>
    </rPh>
    <phoneticPr fontId="1"/>
  </si>
  <si>
    <r>
      <rPr>
        <sz val="11"/>
        <color theme="1"/>
        <rFont val="Yu Gothic"/>
        <family val="3"/>
        <charset val="128"/>
        <scheme val="minor"/>
      </rPr>
      <t>装飾</t>
    </r>
    <r>
      <rPr>
        <b/>
        <sz val="11"/>
        <color theme="1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3"/>
        <charset val="128"/>
        <scheme val="minor"/>
      </rPr>
      <t>です２</t>
    </r>
    <rPh sb="0" eb="2">
      <t>ソウショク</t>
    </rPh>
    <rPh sb="2" eb="4">
      <t>モジ</t>
    </rPh>
    <phoneticPr fontId="1"/>
  </si>
  <si>
    <r>
      <t>装飾</t>
    </r>
    <r>
      <rPr>
        <i/>
        <sz val="11"/>
        <color theme="1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3"/>
        <charset val="128"/>
        <scheme val="minor"/>
      </rPr>
      <t>です３</t>
    </r>
    <rPh sb="0" eb="2">
      <t>ソウショク</t>
    </rPh>
    <rPh sb="2" eb="4">
      <t>モジ</t>
    </rPh>
    <phoneticPr fontId="1"/>
  </si>
  <si>
    <t>色付き文字１</t>
    <rPh sb="0" eb="2">
      <t>イロツ</t>
    </rPh>
    <rPh sb="3" eb="5">
      <t>モジ</t>
    </rPh>
    <phoneticPr fontId="1"/>
  </si>
  <si>
    <r>
      <t>色</t>
    </r>
    <r>
      <rPr>
        <sz val="11"/>
        <color rgb="FFFF0000"/>
        <rFont val="Yu Gothic"/>
        <family val="3"/>
        <charset val="128"/>
        <scheme val="minor"/>
      </rPr>
      <t>付き</t>
    </r>
    <r>
      <rPr>
        <sz val="11"/>
        <color theme="1"/>
        <rFont val="Yu Gothic"/>
        <family val="2"/>
        <scheme val="minor"/>
      </rPr>
      <t>文字２</t>
    </r>
    <rPh sb="0" eb="2">
      <t>イロツ</t>
    </rPh>
    <rPh sb="3" eb="5">
      <t>モジ</t>
    </rPh>
    <phoneticPr fontId="1"/>
  </si>
  <si>
    <r>
      <t>色</t>
    </r>
    <r>
      <rPr>
        <b/>
        <sz val="11"/>
        <color rgb="FFFF0000"/>
        <rFont val="Yu Gothic"/>
        <family val="3"/>
        <charset val="128"/>
        <scheme val="minor"/>
      </rPr>
      <t>付き</t>
    </r>
    <r>
      <rPr>
        <sz val="11"/>
        <color theme="1"/>
        <rFont val="Yu Gothic"/>
        <family val="2"/>
        <scheme val="minor"/>
      </rPr>
      <t>文字３</t>
    </r>
    <rPh sb="0" eb="2">
      <t>イロツ</t>
    </rPh>
    <rPh sb="3" eb="5">
      <t>モジ</t>
    </rPh>
    <phoneticPr fontId="1"/>
  </si>
  <si>
    <r>
      <t>色</t>
    </r>
    <r>
      <rPr>
        <b/>
        <sz val="11"/>
        <color rgb="FFFF0000"/>
        <rFont val="Yu Gothic"/>
        <family val="3"/>
        <charset val="128"/>
        <scheme val="minor"/>
      </rPr>
      <t>付き</t>
    </r>
    <r>
      <rPr>
        <sz val="11"/>
        <color rgb="FFFFC000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2"/>
        <scheme val="minor"/>
      </rPr>
      <t>４</t>
    </r>
    <rPh sb="0" eb="2">
      <t>イロツ</t>
    </rPh>
    <rPh sb="3" eb="5">
      <t>モジ</t>
    </rPh>
    <phoneticPr fontId="1"/>
  </si>
  <si>
    <t>No.</t>
    <phoneticPr fontId="1"/>
  </si>
  <si>
    <t>タイトル</t>
    <phoneticPr fontId="1"/>
  </si>
  <si>
    <t>値A</t>
    <rPh sb="0" eb="1">
      <t>アタイ</t>
    </rPh>
    <phoneticPr fontId="1"/>
  </si>
  <si>
    <t>値B</t>
    <rPh sb="0" eb="1">
      <t>アタイ</t>
    </rPh>
    <phoneticPr fontId="1"/>
  </si>
  <si>
    <t>式</t>
    <rPh sb="0" eb="1">
      <t>シキ</t>
    </rPh>
    <phoneticPr fontId="1"/>
  </si>
  <si>
    <t>式の値</t>
    <rPh sb="0" eb="1">
      <t>シキ</t>
    </rPh>
    <rPh sb="2" eb="3">
      <t>アタイ</t>
    </rPh>
    <phoneticPr fontId="1"/>
  </si>
  <si>
    <t>SUM(E4,F4)</t>
    <phoneticPr fontId="1"/>
  </si>
  <si>
    <t>和</t>
    <rPh sb="0" eb="1">
      <t>ワ</t>
    </rPh>
    <phoneticPr fontId="1"/>
  </si>
  <si>
    <t>積</t>
    <rPh sb="0" eb="1">
      <t>セキ</t>
    </rPh>
    <phoneticPr fontId="1"/>
  </si>
  <si>
    <t>E5*F5</t>
    <phoneticPr fontId="1"/>
  </si>
  <si>
    <t>指数</t>
    <rPh sb="0" eb="2">
      <t>シスウ</t>
    </rPh>
    <phoneticPr fontId="1"/>
  </si>
  <si>
    <t>シート名にコメントを入れてみた</t>
    <rPh sb="3" eb="4">
      <t>メイ</t>
    </rPh>
    <rPh sb="10" eb="11">
      <t>イ</t>
    </rPh>
    <phoneticPr fontId="1"/>
  </si>
  <si>
    <t>項目</t>
    <rPh sb="0" eb="2">
      <t>コウモク</t>
    </rPh>
    <phoneticPr fontId="1"/>
  </si>
  <si>
    <t>Aさん</t>
    <phoneticPr fontId="1"/>
  </si>
  <si>
    <t>Bさん</t>
    <phoneticPr fontId="1"/>
  </si>
  <si>
    <t>Cさん</t>
    <phoneticPr fontId="1"/>
  </si>
  <si>
    <t>Dさん</t>
    <phoneticPr fontId="1"/>
  </si>
  <si>
    <t>身長</t>
    <rPh sb="0" eb="2">
      <t>シンチョウ</t>
    </rPh>
    <phoneticPr fontId="1"/>
  </si>
  <si>
    <t>体重</t>
    <rPh sb="0" eb="2">
      <t>タイジュウ</t>
    </rPh>
    <phoneticPr fontId="1"/>
  </si>
  <si>
    <t>年齢</t>
    <rPh sb="0" eb="2">
      <t>ネンレイ</t>
    </rPh>
    <phoneticPr fontId="1"/>
  </si>
  <si>
    <t>コ</t>
    <phoneticPr fontId="1"/>
  </si>
  <si>
    <t>メ</t>
    <phoneticPr fontId="1"/>
  </si>
  <si>
    <t>ン</t>
    <phoneticPr fontId="1"/>
  </si>
  <si>
    <t>ト</t>
    <phoneticPr fontId="1"/>
  </si>
  <si>
    <t>←これは検索できるのか？</t>
    <rPh sb="4" eb="6">
      <t>ケンサク</t>
    </rPh>
    <phoneticPr fontId="1"/>
  </si>
  <si>
    <t>POWER(E6,F6)</t>
    <phoneticPr fontId="1"/>
  </si>
  <si>
    <t>TopLeft!A1</t>
  </si>
  <si>
    <t>テキストシート!A1</t>
  </si>
  <si>
    <t>Shapes!A1</t>
  </si>
  <si>
    <t>表と式!A1</t>
  </si>
  <si>
    <t>シート名にコメントを!A1</t>
  </si>
  <si>
    <t>表とグラフ!A1</t>
  </si>
  <si>
    <t>内容</t>
    <rPh sb="0" eb="2">
      <t>ナイヨウ</t>
    </rPh>
    <phoneticPr fontId="1"/>
  </si>
  <si>
    <t>ステータス</t>
    <phoneticPr fontId="1"/>
  </si>
  <si>
    <t>備考</t>
    <rPh sb="0" eb="2">
      <t>ビコウ</t>
    </rPh>
    <phoneticPr fontId="1"/>
  </si>
  <si>
    <t>ItemA</t>
  </si>
  <si>
    <t>ItemB</t>
  </si>
  <si>
    <t>ItemC</t>
  </si>
  <si>
    <t>OK</t>
  </si>
  <si>
    <t>OK</t>
    <phoneticPr fontId="1"/>
  </si>
  <si>
    <t>NG</t>
  </si>
  <si>
    <t>NG</t>
    <phoneticPr fontId="1"/>
  </si>
  <si>
    <t>TBD</t>
  </si>
  <si>
    <t>TBD</t>
    <phoneticPr fontId="1"/>
  </si>
  <si>
    <t>保留です</t>
    <rPh sb="0" eb="2">
      <t>ホリュウ</t>
    </rPh>
    <phoneticPr fontId="1"/>
  </si>
  <si>
    <t>Pending</t>
    <phoneticPr fontId="1"/>
  </si>
  <si>
    <t>Done</t>
    <phoneticPr fontId="1"/>
  </si>
  <si>
    <t>Complete</t>
    <phoneticPr fontId="1"/>
  </si>
  <si>
    <t>Finish</t>
    <phoneticPr fontId="1"/>
  </si>
  <si>
    <t>retry</t>
    <phoneticPr fontId="1"/>
  </si>
  <si>
    <t>No Good</t>
    <phoneticPr fontId="1"/>
  </si>
  <si>
    <t>かきくけこ</t>
    <phoneticPr fontId="1"/>
  </si>
  <si>
    <t>あいうえお</t>
    <phoneticPr fontId="1"/>
  </si>
  <si>
    <t>さしすせそ</t>
    <phoneticPr fontId="1"/>
  </si>
  <si>
    <t>たちつてと</t>
    <phoneticPr fontId="1"/>
  </si>
  <si>
    <t>なにぬねの</t>
    <phoneticPr fontId="1"/>
  </si>
  <si>
    <t>はひふへほ</t>
    <phoneticPr fontId="1"/>
  </si>
  <si>
    <t>まみむむも</t>
    <phoneticPr fontId="1"/>
  </si>
  <si>
    <t>やゆよ</t>
    <phoneticPr fontId="1"/>
  </si>
  <si>
    <t>らりるれろ</t>
    <phoneticPr fontId="1"/>
  </si>
  <si>
    <t>わをん</t>
    <phoneticPr fontId="1"/>
  </si>
  <si>
    <t>、。</t>
    <phoneticPr fontId="1"/>
  </si>
  <si>
    <t>外部参照</t>
    <rPh sb="0" eb="2">
      <t>ガイブ</t>
    </rPh>
    <rPh sb="2" eb="4">
      <t>サンショウ</t>
    </rPh>
    <phoneticPr fontId="1"/>
  </si>
  <si>
    <t>保留コメント</t>
    <rPh sb="0" eb="2">
      <t>ホリュウ</t>
    </rPh>
    <phoneticPr fontId="1"/>
  </si>
  <si>
    <t>作成</t>
    <rPh sb="0" eb="2">
      <t>サクセイ</t>
    </rPh>
    <phoneticPr fontId="1"/>
  </si>
  <si>
    <t>チェック</t>
    <phoneticPr fontId="1"/>
  </si>
  <si>
    <t>承認</t>
    <rPh sb="0" eb="2">
      <t>ショウニン</t>
    </rPh>
    <phoneticPr fontId="1"/>
  </si>
  <si>
    <t>ふぐた</t>
    <phoneticPr fontId="1"/>
  </si>
  <si>
    <t>あなご</t>
    <phoneticPr fontId="1"/>
  </si>
  <si>
    <t>はなざわ</t>
    <phoneticPr fontId="1"/>
  </si>
  <si>
    <t>サイン欄</t>
    <rPh sb="3" eb="4">
      <t>ラン</t>
    </rPh>
    <phoneticPr fontId="1"/>
  </si>
  <si>
    <t>Module_A</t>
    <phoneticPr fontId="1"/>
  </si>
  <si>
    <t>Module_B</t>
    <phoneticPr fontId="1"/>
  </si>
  <si>
    <t>Module_C</t>
    <phoneticPr fontId="1"/>
  </si>
  <si>
    <t>Module_D</t>
    <phoneticPr fontId="1"/>
  </si>
  <si>
    <t>Module_E</t>
    <phoneticPr fontId="1"/>
  </si>
  <si>
    <t>Function_B()</t>
    <phoneticPr fontId="1"/>
  </si>
  <si>
    <t>Function_C()</t>
    <phoneticPr fontId="1"/>
  </si>
  <si>
    <t>Function_D()</t>
    <phoneticPr fontId="1"/>
  </si>
  <si>
    <t>Function_E()</t>
    <phoneticPr fontId="1"/>
  </si>
  <si>
    <t>コンソメ</t>
    <phoneticPr fontId="1"/>
  </si>
  <si>
    <t>コメソト</t>
    <phoneticPr fontId="1"/>
  </si>
  <si>
    <t>コヌント</t>
    <phoneticPr fontId="1"/>
  </si>
  <si>
    <t>ロメント</t>
    <phoneticPr fontId="1"/>
  </si>
  <si>
    <t>ココメントト</t>
    <phoneticPr fontId="1"/>
  </si>
  <si>
    <t>http://localhost:3000/issues/91</t>
    <phoneticPr fontId="1"/>
  </si>
  <si>
    <t>A1</t>
    <phoneticPr fontId="1"/>
  </si>
  <si>
    <t>B2</t>
    <phoneticPr fontId="1"/>
  </si>
  <si>
    <t>C3</t>
    <phoneticPr fontId="1"/>
  </si>
  <si>
    <t>このシートは非表示なんです。</t>
    <rPh sb="6" eb="9">
      <t>ヒヒョウジ</t>
    </rPh>
    <phoneticPr fontId="1"/>
  </si>
  <si>
    <t>No</t>
    <phoneticPr fontId="1"/>
  </si>
  <si>
    <t>項目C</t>
    <rPh sb="0" eb="2">
      <t>コウモク</t>
    </rPh>
    <phoneticPr fontId="1"/>
  </si>
  <si>
    <t>項目D</t>
    <rPh sb="0" eb="2">
      <t>コウモク</t>
    </rPh>
    <phoneticPr fontId="1"/>
  </si>
  <si>
    <t>項目E</t>
    <rPh sb="0" eb="2">
      <t>コウモク</t>
    </rPh>
    <phoneticPr fontId="1"/>
  </si>
  <si>
    <t>項目F</t>
    <rPh sb="0" eb="2">
      <t>コウモク</t>
    </rPh>
    <phoneticPr fontId="1"/>
  </si>
  <si>
    <t>Clock</t>
    <phoneticPr fontId="1"/>
  </si>
  <si>
    <t>Cycle</t>
    <phoneticPr fontId="1"/>
  </si>
  <si>
    <t>Car</t>
    <phoneticPr fontId="1"/>
  </si>
  <si>
    <t>Carbon</t>
    <phoneticPr fontId="1"/>
  </si>
  <si>
    <t>Catoon</t>
    <phoneticPr fontId="1"/>
  </si>
  <si>
    <t>Deep</t>
    <phoneticPr fontId="1"/>
  </si>
  <si>
    <t>Danger</t>
    <phoneticPr fontId="1"/>
  </si>
  <si>
    <t>Drop</t>
    <phoneticPr fontId="1"/>
  </si>
  <si>
    <t>Draw</t>
    <phoneticPr fontId="1"/>
  </si>
  <si>
    <t>Eye</t>
    <phoneticPr fontId="1"/>
  </si>
  <si>
    <t>Easy</t>
    <phoneticPr fontId="1"/>
  </si>
  <si>
    <t>Enable</t>
    <phoneticPr fontId="1"/>
  </si>
  <si>
    <t>Erase</t>
    <phoneticPr fontId="1"/>
  </si>
  <si>
    <t>Food</t>
    <phoneticPr fontId="1"/>
  </si>
  <si>
    <t>Foot</t>
    <phoneticPr fontId="1"/>
  </si>
  <si>
    <t>Feet</t>
    <phoneticPr fontId="1"/>
  </si>
  <si>
    <t>Front</t>
    <phoneticPr fontId="1"/>
  </si>
  <si>
    <t>Formula</t>
    <phoneticPr fontId="1"/>
  </si>
  <si>
    <t>Fancy</t>
    <phoneticPr fontId="1"/>
  </si>
  <si>
    <t>Fabulous</t>
    <phoneticPr fontId="1"/>
  </si>
  <si>
    <t>Clone</t>
    <phoneticPr fontId="1"/>
  </si>
  <si>
    <t>Domain</t>
    <phoneticPr fontId="1"/>
  </si>
  <si>
    <t>Eat</t>
    <phoneticPr fontId="1"/>
  </si>
  <si>
    <t>Flow</t>
    <phoneticPr fontId="1"/>
  </si>
  <si>
    <t>February</t>
    <phoneticPr fontId="1"/>
  </si>
  <si>
    <t>Eさん</t>
    <phoneticPr fontId="1"/>
  </si>
  <si>
    <t>Fさん</t>
    <phoneticPr fontId="1"/>
  </si>
  <si>
    <t>Gさん</t>
    <phoneticPr fontId="1"/>
  </si>
  <si>
    <t>Hさん</t>
    <phoneticPr fontId="1"/>
  </si>
  <si>
    <t>成人</t>
    <rPh sb="0" eb="2">
      <t>セイジン</t>
    </rPh>
    <phoneticPr fontId="1"/>
  </si>
  <si>
    <t>未成年</t>
    <rPh sb="0" eb="3">
      <t>ミセイネン</t>
    </rPh>
    <phoneticPr fontId="1"/>
  </si>
  <si>
    <t>グループ</t>
    <phoneticPr fontId="1"/>
  </si>
  <si>
    <t>高齢者</t>
    <rPh sb="0" eb="3">
      <t>コウレイシャ</t>
    </rPh>
    <phoneticPr fontId="1"/>
  </si>
  <si>
    <t>Iさん</t>
    <phoneticPr fontId="1"/>
  </si>
  <si>
    <t>Jさん</t>
    <phoneticPr fontId="1"/>
  </si>
  <si>
    <t>Kさん</t>
    <phoneticPr fontId="1"/>
  </si>
  <si>
    <t>Lさん</t>
    <phoneticPr fontId="1"/>
  </si>
  <si>
    <t>Check</t>
    <phoneticPr fontId="1"/>
  </si>
  <si>
    <t>Chrome</t>
    <phoneticPr fontId="1"/>
  </si>
  <si>
    <t>Copper</t>
    <phoneticPr fontId="1"/>
  </si>
  <si>
    <t>Cap</t>
    <phoneticPr fontId="1"/>
  </si>
  <si>
    <t>Clone</t>
    <phoneticPr fontId="1"/>
  </si>
  <si>
    <t>Clock</t>
    <phoneticPr fontId="1"/>
  </si>
  <si>
    <t>項目G</t>
    <rPh sb="0" eb="2">
      <t>コウモク</t>
    </rPh>
    <phoneticPr fontId="1"/>
  </si>
  <si>
    <t>Dodge</t>
    <phoneticPr fontId="1"/>
  </si>
  <si>
    <t>Email</t>
    <phoneticPr fontId="1"/>
  </si>
  <si>
    <t>Error</t>
    <phoneticPr fontId="1"/>
  </si>
  <si>
    <t>Fuel</t>
    <phoneticPr fontId="1"/>
  </si>
  <si>
    <t>サイン</t>
    <phoneticPr fontId="1"/>
  </si>
  <si>
    <t>照査</t>
    <rPh sb="0" eb="2">
      <t>ショウサ</t>
    </rPh>
    <phoneticPr fontId="1"/>
  </si>
  <si>
    <t>tkubota</t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</si>
  <si>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</si>
  <si>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</si>
  <si>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</si>
  <si>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</si>
  <si>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</si>
  <si>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</si>
  <si>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</si>
  <si>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</si>
  <si>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2027</t>
    <phoneticPr fontId="1"/>
  </si>
  <si>
    <t>2026</t>
    <phoneticPr fontId="1"/>
  </si>
  <si>
    <t>2025</t>
    <phoneticPr fontId="1"/>
  </si>
  <si>
    <t>外枠</t>
    <rPh sb="0" eb="2">
      <t>ソトワク</t>
    </rPh>
    <phoneticPr fontId="1"/>
  </si>
  <si>
    <t>太い外枠</t>
    <rPh sb="0" eb="1">
      <t>フト</t>
    </rPh>
    <rPh sb="2" eb="4">
      <t>ソトワク</t>
    </rPh>
    <phoneticPr fontId="1"/>
  </si>
  <si>
    <t>下二重線</t>
    <rPh sb="0" eb="1">
      <t>シタ</t>
    </rPh>
    <rPh sb="1" eb="4">
      <t>ニジュウセン</t>
    </rPh>
    <phoneticPr fontId="1"/>
  </si>
  <si>
    <t>赤い罫線</t>
    <rPh sb="0" eb="1">
      <t>アカ</t>
    </rPh>
    <rPh sb="2" eb="4">
      <t>ケイセン</t>
    </rPh>
    <phoneticPr fontId="1"/>
  </si>
  <si>
    <t>点線1</t>
    <rPh sb="0" eb="2">
      <t>テンセン</t>
    </rPh>
    <phoneticPr fontId="1"/>
  </si>
  <si>
    <t>点線2</t>
    <phoneticPr fontId="1"/>
  </si>
  <si>
    <t>破線1</t>
    <rPh sb="0" eb="2">
      <t>ハセン</t>
    </rPh>
    <phoneticPr fontId="1"/>
  </si>
  <si>
    <t>破線2</t>
    <rPh sb="0" eb="2">
      <t>ハセン</t>
    </rPh>
    <phoneticPr fontId="1"/>
  </si>
  <si>
    <t>破線3</t>
    <phoneticPr fontId="1"/>
  </si>
  <si>
    <t>太い破線1</t>
    <rPh sb="0" eb="1">
      <t>フト</t>
    </rPh>
    <rPh sb="2" eb="4">
      <t>ハセン</t>
    </rPh>
    <phoneticPr fontId="1"/>
  </si>
  <si>
    <t>太い破線2</t>
    <phoneticPr fontId="1"/>
  </si>
  <si>
    <t>太い破線3</t>
    <phoneticPr fontId="1"/>
  </si>
  <si>
    <t>太い破線4</t>
    <phoneticPr fontId="1"/>
  </si>
  <si>
    <t>もっと太い外枠</t>
    <rPh sb="3" eb="4">
      <t>フト</t>
    </rPh>
    <rPh sb="5" eb="7">
      <t>ソトワク</t>
    </rPh>
    <phoneticPr fontId="1"/>
  </si>
  <si>
    <t>左上-右下</t>
    <rPh sb="0" eb="1">
      <t>ヒダリ</t>
    </rPh>
    <rPh sb="1" eb="2">
      <t>ウエ</t>
    </rPh>
    <rPh sb="3" eb="5">
      <t>ミギシタ</t>
    </rPh>
    <phoneticPr fontId="1"/>
  </si>
  <si>
    <t>左下-右上</t>
    <rPh sb="0" eb="2">
      <t>ヒダリシタ</t>
    </rPh>
    <rPh sb="3" eb="5">
      <t>ミギウエ</t>
    </rPh>
    <phoneticPr fontId="1"/>
  </si>
  <si>
    <t>二重対角線</t>
    <rPh sb="0" eb="5">
      <t>ニジュウタイカクセン</t>
    </rPh>
    <phoneticPr fontId="1"/>
  </si>
  <si>
    <t>格子</t>
    <rPh sb="0" eb="2">
      <t>コウシ</t>
    </rPh>
    <phoneticPr fontId="1"/>
  </si>
  <si>
    <t>2x2の外枠</t>
    <rPh sb="4" eb="6">
      <t>ソトワク</t>
    </rPh>
    <phoneticPr fontId="1"/>
  </si>
  <si>
    <t>結合セルの外枠</t>
    <rPh sb="0" eb="2">
      <t>ケツゴウ</t>
    </rPh>
    <rPh sb="5" eb="7">
      <t>ソトワク</t>
    </rPh>
    <phoneticPr fontId="1"/>
  </si>
  <si>
    <t>全部盛り</t>
    <rPh sb="0" eb="2">
      <t>ゼンブ</t>
    </rPh>
    <rPh sb="2" eb="3">
      <t>ザカ</t>
    </rPh>
    <phoneticPr fontId="1"/>
  </si>
  <si>
    <t>結合セルの全部盛り</t>
    <rPh sb="0" eb="2">
      <t>ケツゴウ</t>
    </rPh>
    <rPh sb="5" eb="8">
      <t>ゼンブモ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</si>
</sst>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&quot;歳&quot;"/>
    <numFmt numFmtId="177" formatCode="0&quot;㎝&quot;"/>
    <numFmt numFmtId="178" formatCode="0&quot;㎏&quot;"/>
    <numFmt numFmtId="179" formatCode="0&quot;コ&quot;&quot;メ&quot;&quot;ン&quot;&quot;ト&quot;"/>
  </numFmts>
  <fonts count="1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i/>
      <sz val="11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FF0000"/>
      <name val="Yu Gothic"/>
      <family val="3"/>
      <charset val="128"/>
      <scheme val="minor"/>
    </font>
    <font>
      <sz val="11"/>
      <color rgb="FFFFC000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0000"/>
      <name val="Yu Gothic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rgb="FFFF0000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dotted">
        <color rgb="FFFF0000"/>
      </bottom>
      <diagonal/>
    </border>
    <border>
      <left/>
      <right/>
      <top/>
      <bottom style="dashDotDot">
        <color auto="1"/>
      </bottom>
      <diagonal/>
    </border>
    <border>
      <left/>
      <right/>
      <top/>
      <bottom style="dashDot">
        <color auto="1"/>
      </bottom>
      <diagonal/>
    </border>
    <border>
      <left/>
      <right/>
      <top/>
      <bottom style="dashed">
        <color auto="1"/>
      </bottom>
      <diagonal/>
    </border>
    <border>
      <left/>
      <right/>
      <top/>
      <bottom style="mediumDashDotDot">
        <color auto="1"/>
      </bottom>
      <diagonal/>
    </border>
    <border>
      <left/>
      <right/>
      <top/>
      <bottom style="slantDashDot">
        <color auto="1"/>
      </bottom>
      <diagonal/>
    </border>
    <border>
      <left/>
      <right/>
      <top/>
      <bottom style="mediumDashDot">
        <color auto="1"/>
      </bottom>
      <diagonal/>
    </border>
    <border>
      <left/>
      <right/>
      <top/>
      <bottom style="mediumDashed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 diagonalDown="1">
      <left/>
      <right/>
      <top/>
      <bottom/>
      <diagonal style="thin">
        <color auto="1"/>
      </diagonal>
    </border>
    <border diagonalUp="1">
      <left/>
      <right/>
      <top/>
      <bottom/>
      <diagonal style="thin">
        <color auto="1"/>
      </diagonal>
    </border>
    <border diagonalUp="1" diagonalDown="1">
      <left/>
      <right/>
      <top/>
      <bottom/>
      <diagonal style="double">
        <color auto="1"/>
      </diagonal>
    </border>
    <border diagonalUp="1"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 diagonalUp="1" diagonalDown="1">
      <left style="thin">
        <color auto="1"/>
      </left>
      <right/>
      <top style="thin">
        <color auto="1"/>
      </top>
      <bottom/>
      <diagonal style="thin">
        <color auto="1"/>
      </diagonal>
    </border>
    <border diagonalUp="1" diagonalDown="1">
      <left/>
      <right style="thin">
        <color auto="1"/>
      </right>
      <top style="thin">
        <color auto="1"/>
      </top>
      <bottom/>
      <diagonal style="thin">
        <color auto="1"/>
      </diagonal>
    </border>
    <border diagonalUp="1" diagonalDown="1">
      <left style="thin">
        <color auto="1"/>
      </left>
      <right/>
      <top/>
      <bottom style="thin">
        <color auto="1"/>
      </bottom>
      <diagonal style="thin">
        <color auto="1"/>
      </diagonal>
    </border>
    <border diagonalUp="1" diagonalDown="1">
      <left/>
      <right style="thin">
        <color auto="1"/>
      </right>
      <top/>
      <bottom style="thin">
        <color auto="1"/>
      </bottom>
      <diagonal style="thin">
        <color auto="1"/>
      </diagonal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78">
    <xf numFmtId="0" fontId="0" fillId="0" borderId="0" xfId="0"/>
    <xf numFmtId="0" fontId="3" fillId="0" borderId="0" xfId="0" applyFont="1"/>
    <xf numFmtId="0" fontId="4" fillId="0" borderId="0" xfId="0" applyFont="1"/>
    <xf numFmtId="0" fontId="6" fillId="0" borderId="0" xfId="0" applyFont="1"/>
    <xf numFmtId="0" fontId="0" fillId="2" borderId="0" xfId="0" applyFill="1"/>
    <xf numFmtId="0" fontId="0" fillId="2" borderId="1" xfId="0" applyFill="1" applyBorder="1"/>
    <xf numFmtId="0" fontId="9" fillId="2" borderId="0" xfId="1" applyFill="1"/>
    <xf numFmtId="14" fontId="0" fillId="2" borderId="1" xfId="0" applyNumberFormat="1" applyFill="1" applyBorder="1"/>
    <xf numFmtId="0" fontId="0" fillId="2" borderId="7" xfId="0" applyFill="1" applyBorder="1"/>
    <xf numFmtId="0" fontId="0" fillId="2" borderId="11" xfId="0" applyFill="1" applyBorder="1"/>
    <xf numFmtId="0" fontId="0" fillId="0" borderId="1" xfId="0" applyBorder="1"/>
    <xf numFmtId="14" fontId="0" fillId="0" borderId="0" xfId="0" applyNumberFormat="1"/>
    <xf numFmtId="0" fontId="0" fillId="2" borderId="2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0" xfId="0" applyFill="1" applyBorder="1"/>
    <xf numFmtId="0" fontId="0" fillId="2" borderId="12" xfId="0" applyFill="1" applyBorder="1"/>
    <xf numFmtId="0" fontId="0" fillId="2" borderId="8" xfId="0" applyFill="1" applyBorder="1"/>
    <xf numFmtId="0" fontId="0" fillId="2" borderId="13" xfId="0" applyFill="1" applyBorder="1"/>
    <xf numFmtId="0" fontId="0" fillId="3" borderId="1" xfId="0" applyFill="1" applyBorder="1"/>
    <xf numFmtId="0" fontId="0" fillId="4" borderId="1" xfId="0" applyFill="1" applyBorder="1"/>
    <xf numFmtId="0" fontId="0" fillId="3" borderId="4" xfId="0" applyFill="1" applyBorder="1"/>
    <xf numFmtId="0" fontId="0" fillId="3" borderId="2" xfId="0" applyFill="1" applyBorder="1"/>
    <xf numFmtId="14" fontId="0" fillId="0" borderId="1" xfId="0" applyNumberFormat="1" applyBorder="1"/>
    <xf numFmtId="0" fontId="11" fillId="2" borderId="10" xfId="0" applyFont="1" applyFill="1" applyBorder="1"/>
    <xf numFmtId="0" fontId="6" fillId="2" borderId="12" xfId="0" applyFont="1" applyFill="1" applyBorder="1"/>
    <xf numFmtId="0" fontId="6" fillId="2" borderId="8" xfId="0" applyFont="1" applyFill="1" applyBorder="1"/>
    <xf numFmtId="0" fontId="0" fillId="0" borderId="0" xfId="0" applyAlignment="1">
      <alignment horizontal="left" vertical="center"/>
    </xf>
    <xf numFmtId="0" fontId="0" fillId="0" borderId="0" xfId="0" quotePrefix="1" applyAlignment="1">
      <alignment horizontal="left" vertical="center"/>
    </xf>
    <xf numFmtId="0" fontId="0" fillId="3" borderId="0" xfId="0" applyFill="1"/>
    <xf numFmtId="0" fontId="0" fillId="4" borderId="0" xfId="0" applyFill="1"/>
    <xf numFmtId="176" fontId="0" fillId="2" borderId="1" xfId="0" applyNumberFormat="1" applyFill="1" applyBorder="1"/>
    <xf numFmtId="177" fontId="0" fillId="2" borderId="1" xfId="0" applyNumberFormat="1" applyFill="1" applyBorder="1"/>
    <xf numFmtId="178" fontId="0" fillId="2" borderId="1" xfId="0" applyNumberFormat="1" applyFill="1" applyBorder="1"/>
    <xf numFmtId="0" fontId="0" fillId="0" borderId="8" xfId="0" applyBorder="1"/>
    <xf numFmtId="0" fontId="0" fillId="0" borderId="10" xfId="0" applyBorder="1"/>
    <xf numFmtId="179" fontId="0" fillId="0" borderId="0" xfId="0" applyNumberFormat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5" xfId="0" applyBorder="1"/>
    <xf numFmtId="0" fontId="0" fillId="0" borderId="7" xfId="0" applyBorder="1"/>
    <xf numFmtId="0" fontId="0" fillId="0" borderId="30" xfId="0" applyBorder="1"/>
    <xf numFmtId="0" fontId="0" fillId="5" borderId="0" xfId="0" applyFill="1"/>
    <xf numFmtId="0" fontId="0" fillId="2" borderId="1" xfId="0" applyFill="1" applyBorder="1"/>
    <xf numFmtId="0" fontId="0" fillId="0" borderId="1" xfId="0" applyBorder="1"/>
    <xf numFmtId="0" fontId="0" fillId="2" borderId="1" xfId="0" applyFill="1" applyBorder="1" applyAlignment="1">
      <alignment horizontal="center" vertical="top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0" borderId="3" xfId="0" applyBorder="1"/>
    <xf numFmtId="0" fontId="0" fillId="0" borderId="4" xfId="0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0" borderId="9" xfId="0" applyBorder="1"/>
    <xf numFmtId="0" fontId="0" fillId="0" borderId="2" xfId="0" applyBorder="1"/>
  </cellXfs>
  <cellStyles count="2">
    <cellStyle name="ハイパーリンク" xfId="1" builtinId="8"/>
    <cellStyle name="標準" xfId="0" builtinId="0"/>
  </cellStyles>
  <dxfs count="26"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FF0000"/>
        <name val="Yu Gothic"/>
        <family val="3"/>
        <charset val="128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0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theme" Target="theme/theme1.xml"/><Relationship Id="rId10" Type="http://schemas.openxmlformats.org/officeDocument/2006/relationships/chartsheet" Target="chartsheets/sheet1.xml"/><Relationship Id="rId19" Type="http://schemas.openxmlformats.org/officeDocument/2006/relationships/worksheet" Target="worksheets/sheet1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3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グラフ 専用 シート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表とグラフ!$D$3</c:f>
              <c:strCache>
                <c:ptCount val="1"/>
                <c:pt idx="0">
                  <c:v>年齢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表とグラフ!$D$4:$D$7</c:f>
              <c:numCache>
                <c:formatCode>0"歳"</c:formatCode>
                <c:ptCount val="4"/>
                <c:pt idx="0">
                  <c:v>33</c:v>
                </c:pt>
                <c:pt idx="1">
                  <c:v>24</c:v>
                </c:pt>
                <c:pt idx="2">
                  <c:v>45</c:v>
                </c:pt>
                <c:pt idx="3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BE-4C6E-A046-4193A1CD7089}"/>
            </c:ext>
          </c:extLst>
        </c:ser>
        <c:ser>
          <c:idx val="1"/>
          <c:order val="1"/>
          <c:tx>
            <c:strRef>
              <c:f>表とグラフ!$E$3</c:f>
              <c:strCache>
                <c:ptCount val="1"/>
                <c:pt idx="0">
                  <c:v>身長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表とグラフ!$E$4:$E$7</c:f>
              <c:numCache>
                <c:formatCode>0"㎝"</c:formatCode>
                <c:ptCount val="4"/>
                <c:pt idx="0">
                  <c:v>178</c:v>
                </c:pt>
                <c:pt idx="1">
                  <c:v>155</c:v>
                </c:pt>
                <c:pt idx="2">
                  <c:v>167</c:v>
                </c:pt>
                <c:pt idx="3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BE-4C6E-A046-4193A1CD7089}"/>
            </c:ext>
          </c:extLst>
        </c:ser>
        <c:ser>
          <c:idx val="2"/>
          <c:order val="2"/>
          <c:tx>
            <c:strRef>
              <c:f>表とグラフ!$F$3</c:f>
              <c:strCache>
                <c:ptCount val="1"/>
                <c:pt idx="0">
                  <c:v>体重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表とグラフ!$F$4:$F$7</c:f>
              <c:numCache>
                <c:formatCode>0"㎏"</c:formatCode>
                <c:ptCount val="4"/>
                <c:pt idx="0">
                  <c:v>75</c:v>
                </c:pt>
                <c:pt idx="1">
                  <c:v>58</c:v>
                </c:pt>
                <c:pt idx="2">
                  <c:v>55</c:v>
                </c:pt>
                <c:pt idx="3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BE-4C6E-A046-4193A1CD7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058112"/>
        <c:axId val="162058592"/>
      </c:barChart>
      <c:catAx>
        <c:axId val="16205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2058592"/>
        <c:crosses val="autoZero"/>
        <c:auto val="1"/>
        <c:lblAlgn val="ctr"/>
        <c:lblOffset val="100"/>
        <c:noMultiLvlLbl val="0"/>
      </c:catAx>
      <c:valAx>
        <c:axId val="16205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歳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205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グラフのタイトルにコメント。。。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年齢とコメント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表とグラフ!$D$4:$D$7</c:f>
              <c:numCache>
                <c:formatCode>0"歳"</c:formatCode>
                <c:ptCount val="4"/>
                <c:pt idx="0">
                  <c:v>33</c:v>
                </c:pt>
                <c:pt idx="1">
                  <c:v>24</c:v>
                </c:pt>
                <c:pt idx="2">
                  <c:v>45</c:v>
                </c:pt>
                <c:pt idx="3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47-414D-BFBC-75DE115E706D}"/>
            </c:ext>
          </c:extLst>
        </c:ser>
        <c:ser>
          <c:idx val="1"/>
          <c:order val="1"/>
          <c:tx>
            <c:v>コメントと身長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表とグラフ!$E$4:$E$7</c:f>
              <c:numCache>
                <c:formatCode>0"㎝"</c:formatCode>
                <c:ptCount val="4"/>
                <c:pt idx="0">
                  <c:v>178</c:v>
                </c:pt>
                <c:pt idx="1">
                  <c:v>155</c:v>
                </c:pt>
                <c:pt idx="2">
                  <c:v>167</c:v>
                </c:pt>
                <c:pt idx="3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47-414D-BFBC-75DE115E706D}"/>
            </c:ext>
          </c:extLst>
        </c:ser>
        <c:ser>
          <c:idx val="2"/>
          <c:order val="2"/>
          <c:tx>
            <c:strRef>
              <c:f>表とグラフ!$F$3</c:f>
              <c:strCache>
                <c:ptCount val="1"/>
                <c:pt idx="0">
                  <c:v>体重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表とグラフ!$F$4:$F$7</c:f>
              <c:numCache>
                <c:formatCode>0"㎏"</c:formatCode>
                <c:ptCount val="4"/>
                <c:pt idx="0">
                  <c:v>75</c:v>
                </c:pt>
                <c:pt idx="1">
                  <c:v>58</c:v>
                </c:pt>
                <c:pt idx="2">
                  <c:v>55</c:v>
                </c:pt>
                <c:pt idx="3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47-414D-BFBC-75DE115E7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435663"/>
        <c:axId val="32439503"/>
      </c:barChart>
      <c:catAx>
        <c:axId val="324356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軸ラベル 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439503"/>
        <c:crosses val="autoZero"/>
        <c:auto val="1"/>
        <c:lblAlgn val="ctr"/>
        <c:lblOffset val="100"/>
        <c:noMultiLvlLbl val="0"/>
      </c:catAx>
      <c:valAx>
        <c:axId val="3243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軸ラベル数値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&quot;歳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435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9541968-4944-4C9E-AE29-A71D243ACFFC}">
  <sheetPr codeName="グラフ11"/>
  <sheetViews>
    <sheetView zoomScale="119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https://creativecommons.org/licenses/by-sa/3.0/" TargetMode="External"/><Relationship Id="rId7" Type="http://schemas.openxmlformats.org/officeDocument/2006/relationships/hyperlink" Target="https://pixnio.com/ja/media/ja-2267821" TargetMode="External"/><Relationship Id="rId2" Type="http://schemas.openxmlformats.org/officeDocument/2006/relationships/hyperlink" Target="https://www.flickr.com/photos/71481771@N00/155686941" TargetMode="External"/><Relationship Id="rId1" Type="http://schemas.openxmlformats.org/officeDocument/2006/relationships/image" Target="../media/image2.jpg"/><Relationship Id="rId6" Type="http://schemas.openxmlformats.org/officeDocument/2006/relationships/image" Target="../media/image4.jpeg"/><Relationship Id="rId5" Type="http://schemas.openxmlformats.org/officeDocument/2006/relationships/hyperlink" Target="https://pixnio.com/ja/%E5%8B%95%E7%89%A9/%E3%83%AA%E3%82%B9/%E3%83%AA%E3%82%B9-%E3%82%AD%E3%83%84%E3%83%8D%E3%83%AA%E3%82%B9-%E6%A8%B9%E3%83%AA%E3%82%B9-%E9%BD%A7%E6%AD%AF%E5%8B%95%E7%89%A9-%E9%87%8E%E7%94%9F%E5%8B%95%E7%89%A9-%E5%8B%95%E7%89%A9" TargetMode="External"/><Relationship Id="rId4" Type="http://schemas.openxmlformats.org/officeDocument/2006/relationships/image" Target="../media/image3.jp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g"/><Relationship Id="rId2" Type="http://schemas.openxmlformats.org/officeDocument/2006/relationships/image" Target="../media/image7.gif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15</xdr:row>
      <xdr:rowOff>0</xdr:rowOff>
    </xdr:from>
    <xdr:to>
      <xdr:col>19</xdr:col>
      <xdr:colOff>610642</xdr:colOff>
      <xdr:row>28</xdr:row>
      <xdr:rowOff>219538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C18F6CD6-6980-365A-A44F-1520CB4D3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0" y="3095625"/>
          <a:ext cx="7468642" cy="33151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4</xdr:row>
          <xdr:rowOff>123825</xdr:rowOff>
        </xdr:from>
        <xdr:to>
          <xdr:col>10</xdr:col>
          <xdr:colOff>571500</xdr:colOff>
          <xdr:row>7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ボタンのコメント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161925</xdr:rowOff>
    </xdr:from>
    <xdr:to>
      <xdr:col>5</xdr:col>
      <xdr:colOff>638175</xdr:colOff>
      <xdr:row>11</xdr:row>
      <xdr:rowOff>171450</xdr:rowOff>
    </xdr:to>
    <xdr:sp macro="" textlink="">
      <xdr:nvSpPr>
        <xdr:cNvPr id="2" name="正方形/長方形 1" descr="四角形に”コメント”のテキストが入っています。">
          <a:extLst>
            <a:ext uri="{FF2B5EF4-FFF2-40B4-BE49-F238E27FC236}">
              <a16:creationId xmlns:a16="http://schemas.microsoft.com/office/drawing/2014/main" id="{93DF693E-9B40-AE60-F1A3-A7B3699599A5}"/>
            </a:ext>
          </a:extLst>
        </xdr:cNvPr>
        <xdr:cNvSpPr/>
      </xdr:nvSpPr>
      <xdr:spPr>
        <a:xfrm>
          <a:off x="695325" y="400050"/>
          <a:ext cx="3371850" cy="23907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コメント</a:t>
          </a:r>
        </a:p>
      </xdr:txBody>
    </xdr:sp>
    <xdr:clientData/>
  </xdr:twoCellAnchor>
  <xdr:twoCellAnchor>
    <xdr:from>
      <xdr:col>1</xdr:col>
      <xdr:colOff>200025</xdr:colOff>
      <xdr:row>13</xdr:row>
      <xdr:rowOff>19050</xdr:rowOff>
    </xdr:from>
    <xdr:to>
      <xdr:col>6</xdr:col>
      <xdr:colOff>352425</xdr:colOff>
      <xdr:row>23</xdr:row>
      <xdr:rowOff>85725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7DC1954-1D0E-4499-AADB-3E01EDA6BB65}"/>
            </a:ext>
          </a:extLst>
        </xdr:cNvPr>
        <xdr:cNvSpPr/>
      </xdr:nvSpPr>
      <xdr:spPr>
        <a:xfrm>
          <a:off x="885825" y="3114675"/>
          <a:ext cx="3581400" cy="24479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これは角が丸い</a:t>
          </a:r>
          <a:endParaRPr kumimoji="1" lang="en-US" altLang="ja-JP" sz="1100"/>
        </a:p>
        <a:p>
          <a:pPr algn="ctr"/>
          <a:r>
            <a:rPr kumimoji="1" lang="ja-JP" altLang="en-US" sz="1100"/>
            <a:t>四角形です</a:t>
          </a:r>
        </a:p>
      </xdr:txBody>
    </xdr:sp>
    <xdr:clientData/>
  </xdr:twoCellAnchor>
  <xdr:twoCellAnchor>
    <xdr:from>
      <xdr:col>2</xdr:col>
      <xdr:colOff>628650</xdr:colOff>
      <xdr:row>26</xdr:row>
      <xdr:rowOff>133350</xdr:rowOff>
    </xdr:from>
    <xdr:to>
      <xdr:col>5</xdr:col>
      <xdr:colOff>371475</xdr:colOff>
      <xdr:row>29</xdr:row>
      <xdr:rowOff>38100</xdr:rowOff>
    </xdr:to>
    <xdr:sp macro="" textlink="">
      <xdr:nvSpPr>
        <xdr:cNvPr id="4" name="矢印: 右 3">
          <a:extLst>
            <a:ext uri="{FF2B5EF4-FFF2-40B4-BE49-F238E27FC236}">
              <a16:creationId xmlns:a16="http://schemas.microsoft.com/office/drawing/2014/main" id="{2057CD24-56C6-80BA-CDDF-DD8D2FEB7B7E}"/>
            </a:ext>
          </a:extLst>
        </xdr:cNvPr>
        <xdr:cNvSpPr/>
      </xdr:nvSpPr>
      <xdr:spPr>
        <a:xfrm>
          <a:off x="2000250" y="6324600"/>
          <a:ext cx="1800225" cy="61912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右矢印１</a:t>
          </a:r>
        </a:p>
      </xdr:txBody>
    </xdr:sp>
    <xdr:clientData/>
  </xdr:twoCellAnchor>
  <xdr:twoCellAnchor>
    <xdr:from>
      <xdr:col>7</xdr:col>
      <xdr:colOff>285750</xdr:colOff>
      <xdr:row>26</xdr:row>
      <xdr:rowOff>142875</xdr:rowOff>
    </xdr:from>
    <xdr:to>
      <xdr:col>10</xdr:col>
      <xdr:colOff>28575</xdr:colOff>
      <xdr:row>29</xdr:row>
      <xdr:rowOff>47625</xdr:rowOff>
    </xdr:to>
    <xdr:sp macro="" textlink="">
      <xdr:nvSpPr>
        <xdr:cNvPr id="5" name="矢印: 右 4">
          <a:extLst>
            <a:ext uri="{FF2B5EF4-FFF2-40B4-BE49-F238E27FC236}">
              <a16:creationId xmlns:a16="http://schemas.microsoft.com/office/drawing/2014/main" id="{8FCC5C7E-FE94-02FD-1C10-5561CE6CD487}"/>
            </a:ext>
          </a:extLst>
        </xdr:cNvPr>
        <xdr:cNvSpPr/>
      </xdr:nvSpPr>
      <xdr:spPr>
        <a:xfrm rot="10800000">
          <a:off x="5086350" y="6334125"/>
          <a:ext cx="1800225" cy="61912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右矢印２</a:t>
          </a:r>
        </a:p>
      </xdr:txBody>
    </xdr:sp>
    <xdr:clientData/>
  </xdr:twoCellAnchor>
  <xdr:twoCellAnchor>
    <xdr:from>
      <xdr:col>5</xdr:col>
      <xdr:colOff>638175</xdr:colOff>
      <xdr:row>6</xdr:row>
      <xdr:rowOff>166688</xdr:rowOff>
    </xdr:from>
    <xdr:to>
      <xdr:col>6</xdr:col>
      <xdr:colOff>352425</xdr:colOff>
      <xdr:row>18</xdr:row>
      <xdr:rowOff>52388</xdr:rowOff>
    </xdr:to>
    <xdr:cxnSp macro="">
      <xdr:nvCxnSpPr>
        <xdr:cNvPr id="7" name="コネクタ: カギ線 6">
          <a:extLst>
            <a:ext uri="{FF2B5EF4-FFF2-40B4-BE49-F238E27FC236}">
              <a16:creationId xmlns:a16="http://schemas.microsoft.com/office/drawing/2014/main" id="{AD109DB3-539D-F1C1-1FFB-0A4DD51C50BB}"/>
            </a:ext>
          </a:extLst>
        </xdr:cNvPr>
        <xdr:cNvCxnSpPr>
          <a:stCxn id="3" idx="3"/>
          <a:endCxn id="2" idx="3"/>
        </xdr:cNvCxnSpPr>
      </xdr:nvCxnSpPr>
      <xdr:spPr>
        <a:xfrm flipH="1" flipV="1">
          <a:off x="4067175" y="1595438"/>
          <a:ext cx="400050" cy="2743200"/>
        </a:xfrm>
        <a:prstGeom prst="bentConnector3">
          <a:avLst>
            <a:gd name="adj1" fmla="val -209524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180975</xdr:colOff>
      <xdr:row>4</xdr:row>
      <xdr:rowOff>76200</xdr:rowOff>
    </xdr:from>
    <xdr:to>
      <xdr:col>21</xdr:col>
      <xdr:colOff>438150</xdr:colOff>
      <xdr:row>26</xdr:row>
      <xdr:rowOff>66675</xdr:rowOff>
    </xdr:to>
    <xdr:grpSp>
      <xdr:nvGrpSpPr>
        <xdr:cNvPr id="12" name="グループ化 11">
          <a:extLst>
            <a:ext uri="{FF2B5EF4-FFF2-40B4-BE49-F238E27FC236}">
              <a16:creationId xmlns:a16="http://schemas.microsoft.com/office/drawing/2014/main" id="{07D0ABB0-DD60-87D7-9F64-51F6A31CB973}"/>
            </a:ext>
          </a:extLst>
        </xdr:cNvPr>
        <xdr:cNvGrpSpPr/>
      </xdr:nvGrpSpPr>
      <xdr:grpSpPr>
        <a:xfrm>
          <a:off x="8410575" y="1028700"/>
          <a:ext cx="6429375" cy="5229225"/>
          <a:chOff x="8410575" y="1028700"/>
          <a:chExt cx="6429375" cy="5229225"/>
        </a:xfrm>
      </xdr:grpSpPr>
      <xdr:sp macro="" textlink="">
        <xdr:nvSpPr>
          <xdr:cNvPr id="6" name="正方形/長方形 5">
            <a:extLst>
              <a:ext uri="{FF2B5EF4-FFF2-40B4-BE49-F238E27FC236}">
                <a16:creationId xmlns:a16="http://schemas.microsoft.com/office/drawing/2014/main" id="{0DBE9C40-98BE-F67B-4DB9-9692CA9E319A}"/>
              </a:ext>
            </a:extLst>
          </xdr:cNvPr>
          <xdr:cNvSpPr/>
        </xdr:nvSpPr>
        <xdr:spPr>
          <a:xfrm>
            <a:off x="8410575" y="1028700"/>
            <a:ext cx="6429375" cy="5229225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" name="フローチャート: 判断 8">
            <a:extLst>
              <a:ext uri="{FF2B5EF4-FFF2-40B4-BE49-F238E27FC236}">
                <a16:creationId xmlns:a16="http://schemas.microsoft.com/office/drawing/2014/main" id="{D3420D32-37AA-606F-D58E-5865EC3CF940}"/>
              </a:ext>
            </a:extLst>
          </xdr:cNvPr>
          <xdr:cNvSpPr/>
        </xdr:nvSpPr>
        <xdr:spPr>
          <a:xfrm>
            <a:off x="8715375" y="2114550"/>
            <a:ext cx="2409825" cy="752475"/>
          </a:xfrm>
          <a:prstGeom prst="flowChartDecision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判断</a:t>
            </a:r>
          </a:p>
        </xdr:txBody>
      </xdr:sp>
      <xdr:sp macro="" textlink="">
        <xdr:nvSpPr>
          <xdr:cNvPr id="10" name="フローチャート: 処理 9">
            <a:extLst>
              <a:ext uri="{FF2B5EF4-FFF2-40B4-BE49-F238E27FC236}">
                <a16:creationId xmlns:a16="http://schemas.microsoft.com/office/drawing/2014/main" id="{A7502D06-7894-416D-8888-77756FAB0E7C}"/>
              </a:ext>
            </a:extLst>
          </xdr:cNvPr>
          <xdr:cNvSpPr/>
        </xdr:nvSpPr>
        <xdr:spPr>
          <a:xfrm>
            <a:off x="8696325" y="3314700"/>
            <a:ext cx="2438400" cy="600075"/>
          </a:xfrm>
          <a:prstGeom prst="flowChart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処理</a:t>
            </a:r>
          </a:p>
        </xdr:txBody>
      </xdr:sp>
      <xdr:sp macro="" textlink="">
        <xdr:nvSpPr>
          <xdr:cNvPr id="11" name="フローチャート: 代替処理 10">
            <a:extLst>
              <a:ext uri="{FF2B5EF4-FFF2-40B4-BE49-F238E27FC236}">
                <a16:creationId xmlns:a16="http://schemas.microsoft.com/office/drawing/2014/main" id="{2A2EA4D0-D21A-259B-29FF-0513CFC71BFA}"/>
              </a:ext>
            </a:extLst>
          </xdr:cNvPr>
          <xdr:cNvSpPr/>
        </xdr:nvSpPr>
        <xdr:spPr>
          <a:xfrm>
            <a:off x="11810999" y="3276600"/>
            <a:ext cx="2238375" cy="628650"/>
          </a:xfrm>
          <a:prstGeom prst="flowChartAlternate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代替処理</a:t>
            </a:r>
          </a:p>
        </xdr:txBody>
      </xdr:sp>
      <xdr:cxnSp macro="">
        <xdr:nvCxnSpPr>
          <xdr:cNvPr id="13" name="コネクタ: カギ線 12">
            <a:extLst>
              <a:ext uri="{FF2B5EF4-FFF2-40B4-BE49-F238E27FC236}">
                <a16:creationId xmlns:a16="http://schemas.microsoft.com/office/drawing/2014/main" id="{3A4DD135-AF71-0EF8-CD70-9C7C56BFAFCF}"/>
              </a:ext>
            </a:extLst>
          </xdr:cNvPr>
          <xdr:cNvCxnSpPr>
            <a:cxnSpLocks/>
            <a:stCxn id="25" idx="2"/>
            <a:endCxn id="9" idx="0"/>
          </xdr:cNvCxnSpPr>
        </xdr:nvCxnSpPr>
        <xdr:spPr>
          <a:xfrm rot="16200000" flipH="1">
            <a:off x="9649682" y="1843944"/>
            <a:ext cx="536448" cy="4763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コネクタ: カギ線 16">
            <a:extLst>
              <a:ext uri="{FF2B5EF4-FFF2-40B4-BE49-F238E27FC236}">
                <a16:creationId xmlns:a16="http://schemas.microsoft.com/office/drawing/2014/main" id="{08A47C41-8418-4EC5-8152-C7C79131D55A}"/>
              </a:ext>
            </a:extLst>
          </xdr:cNvPr>
          <xdr:cNvCxnSpPr>
            <a:stCxn id="9" idx="2"/>
            <a:endCxn id="10" idx="0"/>
          </xdr:cNvCxnSpPr>
        </xdr:nvCxnSpPr>
        <xdr:spPr>
          <a:xfrm rot="5400000">
            <a:off x="9694070" y="3088481"/>
            <a:ext cx="447675" cy="4763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コネクタ: カギ線 19">
            <a:extLst>
              <a:ext uri="{FF2B5EF4-FFF2-40B4-BE49-F238E27FC236}">
                <a16:creationId xmlns:a16="http://schemas.microsoft.com/office/drawing/2014/main" id="{8C25B517-B58C-43F1-B590-99C110A9E854}"/>
              </a:ext>
            </a:extLst>
          </xdr:cNvPr>
          <xdr:cNvCxnSpPr>
            <a:stCxn id="9" idx="3"/>
            <a:endCxn id="11" idx="0"/>
          </xdr:cNvCxnSpPr>
        </xdr:nvCxnSpPr>
        <xdr:spPr>
          <a:xfrm>
            <a:off x="11125200" y="2490788"/>
            <a:ext cx="1804987" cy="785812"/>
          </a:xfrm>
          <a:prstGeom prst="bentConnector2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" name="フローチャート: 端子 23">
            <a:extLst>
              <a:ext uri="{FF2B5EF4-FFF2-40B4-BE49-F238E27FC236}">
                <a16:creationId xmlns:a16="http://schemas.microsoft.com/office/drawing/2014/main" id="{257B14DD-7C9F-B13F-6823-3E9B1CDCA2BB}"/>
              </a:ext>
            </a:extLst>
          </xdr:cNvPr>
          <xdr:cNvSpPr/>
        </xdr:nvSpPr>
        <xdr:spPr>
          <a:xfrm>
            <a:off x="9467850" y="5676900"/>
            <a:ext cx="914400" cy="301752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終了</a:t>
            </a:r>
          </a:p>
        </xdr:txBody>
      </xdr:sp>
      <xdr:sp macro="" textlink="">
        <xdr:nvSpPr>
          <xdr:cNvPr id="25" name="フローチャート: 端子 24">
            <a:extLst>
              <a:ext uri="{FF2B5EF4-FFF2-40B4-BE49-F238E27FC236}">
                <a16:creationId xmlns:a16="http://schemas.microsoft.com/office/drawing/2014/main" id="{58F7D45D-FC77-4FCD-A329-CE7E210C67DA}"/>
              </a:ext>
            </a:extLst>
          </xdr:cNvPr>
          <xdr:cNvSpPr/>
        </xdr:nvSpPr>
        <xdr:spPr>
          <a:xfrm>
            <a:off x="9458325" y="1276350"/>
            <a:ext cx="914400" cy="301752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開始</a:t>
            </a:r>
          </a:p>
        </xdr:txBody>
      </xdr:sp>
      <xdr:sp macro="" textlink="">
        <xdr:nvSpPr>
          <xdr:cNvPr id="27" name="フローチャート: 定義済み処理 26">
            <a:extLst>
              <a:ext uri="{FF2B5EF4-FFF2-40B4-BE49-F238E27FC236}">
                <a16:creationId xmlns:a16="http://schemas.microsoft.com/office/drawing/2014/main" id="{CA344A1D-23ED-2859-3E07-F096578427DC}"/>
              </a:ext>
            </a:extLst>
          </xdr:cNvPr>
          <xdr:cNvSpPr/>
        </xdr:nvSpPr>
        <xdr:spPr>
          <a:xfrm>
            <a:off x="8763000" y="4524375"/>
            <a:ext cx="2314575" cy="676275"/>
          </a:xfrm>
          <a:prstGeom prst="flowChartPredefined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定義済処理</a:t>
            </a:r>
          </a:p>
        </xdr:txBody>
      </xdr:sp>
      <xdr:cxnSp macro="">
        <xdr:nvCxnSpPr>
          <xdr:cNvPr id="28" name="コネクタ: カギ線 27">
            <a:extLst>
              <a:ext uri="{FF2B5EF4-FFF2-40B4-BE49-F238E27FC236}">
                <a16:creationId xmlns:a16="http://schemas.microsoft.com/office/drawing/2014/main" id="{0E9E1F13-AEA8-D0E4-DF9E-4F3049E2A4C1}"/>
              </a:ext>
            </a:extLst>
          </xdr:cNvPr>
          <xdr:cNvCxnSpPr>
            <a:stCxn id="10" idx="2"/>
            <a:endCxn id="27" idx="0"/>
          </xdr:cNvCxnSpPr>
        </xdr:nvCxnSpPr>
        <xdr:spPr>
          <a:xfrm rot="16200000" flipH="1">
            <a:off x="9613106" y="4217193"/>
            <a:ext cx="609600" cy="4763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コネクタ: カギ線 30">
            <a:extLst>
              <a:ext uri="{FF2B5EF4-FFF2-40B4-BE49-F238E27FC236}">
                <a16:creationId xmlns:a16="http://schemas.microsoft.com/office/drawing/2014/main" id="{3C54F2CB-EF78-40B8-A3F1-D4CA7521730D}"/>
              </a:ext>
            </a:extLst>
          </xdr:cNvPr>
          <xdr:cNvCxnSpPr>
            <a:stCxn id="11" idx="2"/>
          </xdr:cNvCxnSpPr>
        </xdr:nvCxnSpPr>
        <xdr:spPr>
          <a:xfrm rot="5400000">
            <a:off x="11251406" y="2607469"/>
            <a:ext cx="381000" cy="2976562"/>
          </a:xfrm>
          <a:prstGeom prst="bentConnector2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" name="コネクタ: カギ線 34">
            <a:extLst>
              <a:ext uri="{FF2B5EF4-FFF2-40B4-BE49-F238E27FC236}">
                <a16:creationId xmlns:a16="http://schemas.microsoft.com/office/drawing/2014/main" id="{1C4FDB50-2BB8-4372-9747-05C53DFF4BCB}"/>
              </a:ext>
            </a:extLst>
          </xdr:cNvPr>
          <xdr:cNvCxnSpPr>
            <a:stCxn id="27" idx="2"/>
            <a:endCxn id="24" idx="0"/>
          </xdr:cNvCxnSpPr>
        </xdr:nvCxnSpPr>
        <xdr:spPr>
          <a:xfrm rot="16200000" flipH="1">
            <a:off x="9684544" y="5436394"/>
            <a:ext cx="476250" cy="4762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28576</xdr:colOff>
      <xdr:row>31</xdr:row>
      <xdr:rowOff>66675</xdr:rowOff>
    </xdr:from>
    <xdr:to>
      <xdr:col>9</xdr:col>
      <xdr:colOff>257176</xdr:colOff>
      <xdr:row>40</xdr:row>
      <xdr:rowOff>57150</xdr:rowOff>
    </xdr:to>
    <xdr:grpSp>
      <xdr:nvGrpSpPr>
        <xdr:cNvPr id="18" name="グループ化 17" descr="外側のグループ">
          <a:extLst>
            <a:ext uri="{FF2B5EF4-FFF2-40B4-BE49-F238E27FC236}">
              <a16:creationId xmlns:a16="http://schemas.microsoft.com/office/drawing/2014/main" id="{A594A734-62DA-2198-F4FC-E8E990B275B0}"/>
            </a:ext>
          </a:extLst>
        </xdr:cNvPr>
        <xdr:cNvGrpSpPr/>
      </xdr:nvGrpSpPr>
      <xdr:grpSpPr>
        <a:xfrm>
          <a:off x="4143376" y="7448550"/>
          <a:ext cx="2286000" cy="2133600"/>
          <a:chOff x="4143376" y="7448550"/>
          <a:chExt cx="2286000" cy="2133600"/>
        </a:xfrm>
      </xdr:grpSpPr>
      <xdr:sp macro="" textlink="">
        <xdr:nvSpPr>
          <xdr:cNvPr id="8" name="正方形/長方形 7">
            <a:extLst>
              <a:ext uri="{FF2B5EF4-FFF2-40B4-BE49-F238E27FC236}">
                <a16:creationId xmlns:a16="http://schemas.microsoft.com/office/drawing/2014/main" id="{F9A499A9-0488-2B0F-9F46-2FF550BCF0A6}"/>
              </a:ext>
            </a:extLst>
          </xdr:cNvPr>
          <xdr:cNvSpPr/>
        </xdr:nvSpPr>
        <xdr:spPr>
          <a:xfrm>
            <a:off x="4143376" y="7448550"/>
            <a:ext cx="2286000" cy="2133600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ja-JP" altLang="en-US" sz="1100"/>
              <a:t>土台</a:t>
            </a:r>
          </a:p>
        </xdr:txBody>
      </xdr:sp>
      <xdr:grpSp>
        <xdr:nvGrpSpPr>
          <xdr:cNvPr id="16" name="グループ化 15">
            <a:extLst>
              <a:ext uri="{FF2B5EF4-FFF2-40B4-BE49-F238E27FC236}">
                <a16:creationId xmlns:a16="http://schemas.microsoft.com/office/drawing/2014/main" id="{9E3E9B14-92BC-021A-D2AE-F7FD2A6725E6}"/>
              </a:ext>
            </a:extLst>
          </xdr:cNvPr>
          <xdr:cNvGrpSpPr/>
        </xdr:nvGrpSpPr>
        <xdr:grpSpPr>
          <a:xfrm>
            <a:off x="4400550" y="7762875"/>
            <a:ext cx="1819275" cy="1628775"/>
            <a:chOff x="4400550" y="7762875"/>
            <a:chExt cx="1819275" cy="1628775"/>
          </a:xfrm>
        </xdr:grpSpPr>
        <xdr:sp macro="" textlink="">
          <xdr:nvSpPr>
            <xdr:cNvPr id="14" name="正方形/長方形 13">
              <a:extLst>
                <a:ext uri="{FF2B5EF4-FFF2-40B4-BE49-F238E27FC236}">
                  <a16:creationId xmlns:a16="http://schemas.microsoft.com/office/drawing/2014/main" id="{AB08FAFB-90B1-4F90-AE62-F663DB8A18CA}"/>
                </a:ext>
              </a:extLst>
            </xdr:cNvPr>
            <xdr:cNvSpPr/>
          </xdr:nvSpPr>
          <xdr:spPr>
            <a:xfrm>
              <a:off x="4400550" y="7762875"/>
              <a:ext cx="1819275" cy="1628775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kumimoji="1" lang="en-US" altLang="ja-JP" sz="1100"/>
                <a:t>1</a:t>
              </a:r>
              <a:r>
                <a:rPr kumimoji="1" lang="ja-JP" altLang="en-US" sz="1100"/>
                <a:t>段目</a:t>
              </a:r>
            </a:p>
          </xdr:txBody>
        </xdr:sp>
        <xdr:sp macro="" textlink="">
          <xdr:nvSpPr>
            <xdr:cNvPr id="15" name="正方形/長方形 14">
              <a:extLst>
                <a:ext uri="{FF2B5EF4-FFF2-40B4-BE49-F238E27FC236}">
                  <a16:creationId xmlns:a16="http://schemas.microsoft.com/office/drawing/2014/main" id="{C7D364FC-41E3-4BE5-83DF-C1FCFB7ADF37}"/>
                </a:ext>
              </a:extLst>
            </xdr:cNvPr>
            <xdr:cNvSpPr/>
          </xdr:nvSpPr>
          <xdr:spPr>
            <a:xfrm>
              <a:off x="4657725" y="8096250"/>
              <a:ext cx="1323975" cy="1152525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kumimoji="1" lang="ja-JP" altLang="en-US" sz="1100"/>
                <a:t>２段目</a:t>
              </a:r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142875</xdr:colOff>
      <xdr:row>7</xdr:row>
      <xdr:rowOff>28575</xdr:rowOff>
    </xdr:from>
    <xdr:to>
      <xdr:col>9</xdr:col>
      <xdr:colOff>76200</xdr:colOff>
      <xdr:row>31</xdr:row>
      <xdr:rowOff>209550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4B65CF0B-A7CD-0C20-9DE8-FA0BB61D083B}"/>
            </a:ext>
          </a:extLst>
        </xdr:cNvPr>
        <xdr:cNvSpPr/>
      </xdr:nvSpPr>
      <xdr:spPr>
        <a:xfrm>
          <a:off x="2047875" y="1695450"/>
          <a:ext cx="171450" cy="58959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85725</xdr:colOff>
      <xdr:row>9</xdr:row>
      <xdr:rowOff>0</xdr:rowOff>
    </xdr:from>
    <xdr:to>
      <xdr:col>18</xdr:col>
      <xdr:colOff>219075</xdr:colOff>
      <xdr:row>9</xdr:row>
      <xdr:rowOff>0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id="{A7838A07-5E42-90B9-023D-8F470945858C}"/>
            </a:ext>
          </a:extLst>
        </xdr:cNvPr>
        <xdr:cNvCxnSpPr/>
      </xdr:nvCxnSpPr>
      <xdr:spPr>
        <a:xfrm>
          <a:off x="2228850" y="2143125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9</xdr:row>
      <xdr:rowOff>228600</xdr:rowOff>
    </xdr:from>
    <xdr:to>
      <xdr:col>28</xdr:col>
      <xdr:colOff>209550</xdr:colOff>
      <xdr:row>9</xdr:row>
      <xdr:rowOff>228600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BDFEB87C-AB0A-6D30-8168-985F60356E34}"/>
            </a:ext>
          </a:extLst>
        </xdr:cNvPr>
        <xdr:cNvCxnSpPr/>
      </xdr:nvCxnSpPr>
      <xdr:spPr>
        <a:xfrm>
          <a:off x="4600575" y="2371725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123825</xdr:colOff>
      <xdr:row>11</xdr:row>
      <xdr:rowOff>9525</xdr:rowOff>
    </xdr:from>
    <xdr:to>
      <xdr:col>39</xdr:col>
      <xdr:colOff>19050</xdr:colOff>
      <xdr:row>11</xdr:row>
      <xdr:rowOff>9525</xdr:rowOff>
    </xdr:to>
    <xdr:cxnSp macro="">
      <xdr:nvCxnSpPr>
        <xdr:cNvPr id="6" name="直線矢印コネクタ 5">
          <a:extLst>
            <a:ext uri="{FF2B5EF4-FFF2-40B4-BE49-F238E27FC236}">
              <a16:creationId xmlns:a16="http://schemas.microsoft.com/office/drawing/2014/main" id="{05B97C51-8DFB-6773-25C5-C5F5141F563F}"/>
            </a:ext>
          </a:extLst>
        </xdr:cNvPr>
        <xdr:cNvCxnSpPr/>
      </xdr:nvCxnSpPr>
      <xdr:spPr>
        <a:xfrm>
          <a:off x="7029450" y="2628900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12</xdr:row>
      <xdr:rowOff>0</xdr:rowOff>
    </xdr:from>
    <xdr:to>
      <xdr:col>49</xdr:col>
      <xdr:colOff>0</xdr:colOff>
      <xdr:row>12</xdr:row>
      <xdr:rowOff>0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319F3379-6ABF-4D68-B215-87C6C8FDFB32}"/>
            </a:ext>
          </a:extLst>
        </xdr:cNvPr>
        <xdr:cNvCxnSpPr/>
      </xdr:nvCxnSpPr>
      <xdr:spPr>
        <a:xfrm>
          <a:off x="9391650" y="2857500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5189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A526EB72-9BC3-9F2D-4046-EBBF626C134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176212</xdr:colOff>
      <xdr:row>9</xdr:row>
      <xdr:rowOff>190500</xdr:rowOff>
    </xdr:from>
    <xdr:to>
      <xdr:col>8</xdr:col>
      <xdr:colOff>633412</xdr:colOff>
      <xdr:row>21</xdr:row>
      <xdr:rowOff>76200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9120D86-08F9-A1DB-7856-1CEE9DFB1C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12</xdr:col>
      <xdr:colOff>228600</xdr:colOff>
      <xdr:row>22</xdr:row>
      <xdr:rowOff>168324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D2BC8F36-36DF-8479-577D-7F1B663D5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685800" y="238125"/>
          <a:ext cx="7772400" cy="5168949"/>
        </a:xfrm>
        <a:prstGeom prst="rect">
          <a:avLst/>
        </a:prstGeom>
        <a:ln w="2286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  <xdr:oneCellAnchor>
    <xdr:from>
      <xdr:col>1</xdr:col>
      <xdr:colOff>0</xdr:colOff>
      <xdr:row>22</xdr:row>
      <xdr:rowOff>168324</xdr:rowOff>
    </xdr:from>
    <xdr:ext cx="7772400" cy="285527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2D2CCD3A-4C37-3101-4974-E0B3815A9424}"/>
            </a:ext>
          </a:extLst>
        </xdr:cNvPr>
        <xdr:cNvSpPr txBox="1"/>
      </xdr:nvSpPr>
      <xdr:spPr>
        <a:xfrm>
          <a:off x="685800" y="5407074"/>
          <a:ext cx="7772400" cy="2855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ja-JP" altLang="en-US" sz="900">
              <a:hlinkClick xmlns:r="http://schemas.openxmlformats.org/officeDocument/2006/relationships" r:id="rId2" tooltip="https://www.flickr.com/photos/71481771@N00/155686941"/>
            </a:rPr>
            <a:t>この写真</a:t>
          </a:r>
          <a:r>
            <a:rPr lang="ja-JP" altLang="en-US" sz="900"/>
            <a:t> の作成者 不明な作成者 は </a:t>
          </a:r>
          <a:r>
            <a:rPr lang="ja-JP" altLang="en-US" sz="900">
              <a:hlinkClick xmlns:r="http://schemas.openxmlformats.org/officeDocument/2006/relationships" r:id="rId3" tooltip="https://creativecommons.org/licenses/by-sa/3.0/"/>
            </a:rPr>
            <a:t>CC BY-SA</a:t>
          </a:r>
          <a:r>
            <a:rPr lang="ja-JP" altLang="en-US" sz="900"/>
            <a:t> のライセンスを許諾されています</a:t>
          </a:r>
        </a:p>
      </xdr:txBody>
    </xdr:sp>
    <xdr:clientData/>
  </xdr:oneCellAnchor>
  <xdr:twoCellAnchor editAs="oneCell">
    <xdr:from>
      <xdr:col>13</xdr:col>
      <xdr:colOff>9525</xdr:colOff>
      <xdr:row>1</xdr:row>
      <xdr:rowOff>19050</xdr:rowOff>
    </xdr:from>
    <xdr:to>
      <xdr:col>21</xdr:col>
      <xdr:colOff>9525</xdr:colOff>
      <xdr:row>16</xdr:row>
      <xdr:rowOff>104775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85F762BE-E4AE-564C-D334-A526643D99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8924925" y="257175"/>
          <a:ext cx="5486400" cy="3657600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 editAs="oneCell">
    <xdr:from>
      <xdr:col>13</xdr:col>
      <xdr:colOff>0</xdr:colOff>
      <xdr:row>18</xdr:row>
      <xdr:rowOff>0</xdr:rowOff>
    </xdr:from>
    <xdr:to>
      <xdr:col>18</xdr:col>
      <xdr:colOff>228600</xdr:colOff>
      <xdr:row>28</xdr:row>
      <xdr:rowOff>57150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E519C2B0-AEE6-F467-D8A4-842E5D9B30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7"/>
            </a:ext>
          </a:extLst>
        </a:blip>
        <a:stretch>
          <a:fillRect/>
        </a:stretch>
      </xdr:blipFill>
      <xdr:spPr>
        <a:xfrm>
          <a:off x="8915400" y="4286250"/>
          <a:ext cx="3657600" cy="2438400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6</xdr:col>
      <xdr:colOff>248163</xdr:colOff>
      <xdr:row>36</xdr:row>
      <xdr:rowOff>200352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5BA72E05-B428-CA5D-4497-E687115FA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85800" y="6429375"/>
          <a:ext cx="3677163" cy="2343477"/>
        </a:xfrm>
        <a:prstGeom prst="rect">
          <a:avLst/>
        </a:prstGeom>
        <a:solidFill>
          <a:srgbClr val="FFFFFF">
            <a:shade val="85000"/>
          </a:srgbClr>
        </a:solidFill>
        <a:ln w="190500" cap="rnd">
          <a:solidFill>
            <a:srgbClr val="FFFFFF"/>
          </a:solidFill>
        </a:ln>
        <a:effectLst>
          <a:outerShdw blurRad="36195" dist="12700" dir="11400000" algn="tl" rotWithShape="0">
            <a:srgbClr val="000000">
              <a:alpha val="33000"/>
            </a:srgbClr>
          </a:outerShdw>
        </a:effectLst>
        <a:scene3d>
          <a:camera prst="perspectiveContrastingLeftFacing">
            <a:rot lat="540000" lon="2100000" rev="0"/>
          </a:camera>
          <a:lightRig rig="soft" dir="t"/>
        </a:scene3d>
        <a:sp3d contourW="12700" prstMaterial="matte">
          <a:bevelT w="63500" h="50800"/>
          <a:contourClr>
            <a:srgbClr val="C0C0C0"/>
          </a:contourClr>
        </a:sp3d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314325</xdr:colOff>
      <xdr:row>2</xdr:row>
      <xdr:rowOff>180975</xdr:rowOff>
    </xdr:from>
    <xdr:to>
      <xdr:col>12</xdr:col>
      <xdr:colOff>113079</xdr:colOff>
      <xdr:row>9</xdr:row>
      <xdr:rowOff>190500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43103C2D-BBD3-7B8C-F9B0-8848FD318A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284" t="20670" r="76617" b="66115"/>
        <a:stretch>
          <a:fillRect/>
        </a:stretch>
      </xdr:blipFill>
      <xdr:spPr>
        <a:xfrm>
          <a:off x="3743325" y="657225"/>
          <a:ext cx="4599354" cy="1676400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571500</xdr:colOff>
      <xdr:row>3</xdr:row>
      <xdr:rowOff>190500</xdr:rowOff>
    </xdr:from>
    <xdr:to>
      <xdr:col>4</xdr:col>
      <xdr:colOff>57150</xdr:colOff>
      <xdr:row>6</xdr:row>
      <xdr:rowOff>209551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39501CA5-97EB-F3BA-82CA-53D9D460A9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30" t="27544" r="51741" b="46355"/>
        <a:stretch>
          <a:fillRect/>
        </a:stretch>
      </xdr:blipFill>
      <xdr:spPr>
        <a:xfrm>
          <a:off x="1257300" y="904875"/>
          <a:ext cx="1543050" cy="733426"/>
        </a:xfrm>
        <a:prstGeom prst="rect">
          <a:avLst/>
        </a:prstGeom>
      </xdr:spPr>
    </xdr:pic>
    <xdr:clientData/>
  </xdr:twoCellAnchor>
  <xdr:twoCellAnchor editAs="oneCell">
    <xdr:from>
      <xdr:col>9</xdr:col>
      <xdr:colOff>609600</xdr:colOff>
      <xdr:row>12</xdr:row>
      <xdr:rowOff>28575</xdr:rowOff>
    </xdr:from>
    <xdr:to>
      <xdr:col>11</xdr:col>
      <xdr:colOff>647700</xdr:colOff>
      <xdr:row>14</xdr:row>
      <xdr:rowOff>95250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65CD2067-86A8-5AAC-FE8B-FA8618988A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483" t="37798" r="50088" b="42880"/>
        <a:stretch>
          <a:fillRect/>
        </a:stretch>
      </xdr:blipFill>
      <xdr:spPr>
        <a:xfrm>
          <a:off x="6781800" y="2886075"/>
          <a:ext cx="1409700" cy="542925"/>
        </a:xfrm>
        <a:prstGeom prst="rect">
          <a:avLst/>
        </a:prstGeom>
      </xdr:spPr>
    </xdr:pic>
    <xdr:clientData/>
  </xdr:twoCellAnchor>
  <xdr:twoCellAnchor editAs="oneCell">
    <xdr:from>
      <xdr:col>13</xdr:col>
      <xdr:colOff>285750</xdr:colOff>
      <xdr:row>5</xdr:row>
      <xdr:rowOff>95250</xdr:rowOff>
    </xdr:from>
    <xdr:to>
      <xdr:col>15</xdr:col>
      <xdr:colOff>361950</xdr:colOff>
      <xdr:row>6</xdr:row>
      <xdr:rowOff>228600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65B809F2-4E9C-6414-22DE-F46D181202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69" t="14827" r="67199" b="71958"/>
        <a:stretch>
          <a:fillRect/>
        </a:stretch>
      </xdr:blipFill>
      <xdr:spPr>
        <a:xfrm>
          <a:off x="9201150" y="1285875"/>
          <a:ext cx="1447800" cy="371475"/>
        </a:xfrm>
        <a:prstGeom prst="rect">
          <a:avLst/>
        </a:prstGeom>
      </xdr:spPr>
    </xdr:pic>
    <xdr:clientData/>
  </xdr:twoCellAnchor>
  <xdr:twoCellAnchor editAs="oneCell">
    <xdr:from>
      <xdr:col>2</xdr:col>
      <xdr:colOff>457199</xdr:colOff>
      <xdr:row>13</xdr:row>
      <xdr:rowOff>28575</xdr:rowOff>
    </xdr:from>
    <xdr:to>
      <xdr:col>5</xdr:col>
      <xdr:colOff>171450</xdr:colOff>
      <xdr:row>15</xdr:row>
      <xdr:rowOff>94242</xdr:rowOff>
    </xdr:to>
    <xdr:pic>
      <xdr:nvPicPr>
        <xdr:cNvPr id="11" name="グラフィックス 10">
          <a:extLst>
            <a:ext uri="{FF2B5EF4-FFF2-40B4-BE49-F238E27FC236}">
              <a16:creationId xmlns:a16="http://schemas.microsoft.com/office/drawing/2014/main" id="{6B856561-4480-EB1D-E573-46BF38B3F75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rcRect l="18001" t="32004" r="18249" b="28996"/>
        <a:stretch>
          <a:fillRect/>
        </a:stretch>
      </xdr:blipFill>
      <xdr:spPr>
        <a:xfrm>
          <a:off x="1828799" y="3124200"/>
          <a:ext cx="1771651" cy="54191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src\tools\py_mcps\py_mcps\sample\test.xlsx" TargetMode="External"/><Relationship Id="rId1" Type="http://schemas.openxmlformats.org/officeDocument/2006/relationships/externalLinkPath" Target="te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oneSheet"/>
      <sheetName val="TopLeft"/>
      <sheetName val="テキストシート"/>
    </sheetNames>
    <sheetDataSet>
      <sheetData sheetId="0"/>
      <sheetData sheetId="1"/>
      <sheetData sheetId="2">
        <row r="4">
          <cell r="C4">
            <v>1.1000000000000001</v>
          </cell>
          <cell r="D4" t="str">
            <v>目的</v>
          </cell>
        </row>
        <row r="5">
          <cell r="C5">
            <v>1.2</v>
          </cell>
          <cell r="D5" t="str">
            <v>目次</v>
          </cell>
        </row>
        <row r="6">
          <cell r="C6">
            <v>1.3</v>
          </cell>
          <cell r="D6" t="str">
            <v>概略</v>
          </cell>
        </row>
        <row r="7">
          <cell r="C7">
            <v>1.4</v>
          </cell>
          <cell r="D7" t="str">
            <v>コメント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C89DE1-F502-4E46-AC5B-7F7D1A6FFDB7}" name="テーブルにもコメント" displayName="テーブルにもコメント" ref="C3:F7" totalsRowShown="0" headerRowDxfId="24" headerRowBorderDxfId="23" tableBorderDxfId="22" totalsRowBorderDxfId="21">
  <autoFilter ref="C3:F7" xr:uid="{ADC89DE1-F502-4E46-AC5B-7F7D1A6FFDB7}">
    <filterColumn colId="0">
      <customFilters>
        <customFilter val="*さん"/>
      </customFilters>
    </filterColumn>
  </autoFilter>
  <tableColumns count="4">
    <tableColumn id="1" xr3:uid="{EB628F3A-2400-48F8-BDC0-A3F270B3A1BF}" name="項目" dataDxfId="20"/>
    <tableColumn id="2" xr3:uid="{C11F94EF-D549-4329-BBBC-2AAE0F188428}" name="年齢" dataDxfId="19"/>
    <tableColumn id="3" xr3:uid="{9496CB4E-A741-4278-AC0E-A4EFDB40700C}" name="身長" dataDxfId="18"/>
    <tableColumn id="4" xr3:uid="{52F27ED5-F934-4C57-8FD4-79FE7FBD3D30}" name="体重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8F1467-B5C0-45E9-9731-BF63B820F640}" name="テーブル13" displayName="テーブル13" ref="C9:F13" totalsRowShown="0" headerRowDxfId="16" headerRowBorderDxfId="15" tableBorderDxfId="14" totalsRowBorderDxfId="13">
  <autoFilter ref="C9:F13" xr:uid="{298F1467-B5C0-45E9-9731-BF63B820F640}">
    <filterColumn colId="2">
      <colorFilter dxfId="12"/>
    </filterColumn>
  </autoFilter>
  <tableColumns count="4">
    <tableColumn id="1" xr3:uid="{0CCABA3F-2157-416D-8EE4-A210315E2BD2}" name="項目" dataDxfId="11"/>
    <tableColumn id="2" xr3:uid="{457613FF-3CFF-42B7-A94C-0F682FDE01D8}" name="年齢" dataDxfId="10"/>
    <tableColumn id="3" xr3:uid="{1685AE59-05E8-48FF-8ADA-45318DE43E58}" name="身長" dataDxfId="9"/>
    <tableColumn id="4" xr3:uid="{15ED615D-7779-4811-AB18-FD10F0B50C08}" name="体重" dataDxfId="8"/>
  </tableColumns>
  <tableStyleInfo name="TableStyleMedium2" showFirstColumn="0" showLastColumn="0" showRowStripes="1" showColumnStripes="0"/>
  <extLst>
    <ext xmlns:x14="http://schemas.microsoft.com/office/spreadsheetml/2009/9/main" uri="{504A1905-F514-4f6f-8877-14C23A59335A}">
      <x14:table altText="名前の代替テキストとしてコメント" altTextSummary="説明欄の文章にコメント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CBBA6A-157A-491C-94EC-31982D0AA2C2}" name="テーブル134" displayName="テーブル134" ref="C15:F19" totalsRowShown="0" headerRowDxfId="7" headerRowBorderDxfId="6" tableBorderDxfId="5" totalsRowBorderDxfId="4">
  <autoFilter ref="C15:F19" xr:uid="{92CBBA6A-157A-491C-94EC-31982D0AA2C2}">
    <filterColumn colId="2">
      <customFilters>
        <customFilter operator="greaterThan" val="160"/>
      </customFilters>
    </filterColumn>
  </autoFilter>
  <tableColumns count="4">
    <tableColumn id="1" xr3:uid="{8417F11B-2E25-46BB-ADB1-4603F07A4BCA}" name="項目" dataDxfId="3"/>
    <tableColumn id="2" xr3:uid="{802D61CE-FC2A-4FE1-8810-76D2D342971D}" name="年齢" dataDxfId="2"/>
    <tableColumn id="3" xr3:uid="{D1EAA0D0-FB95-4141-A943-06897A57AD53}" name="身長" dataDxfId="1"/>
    <tableColumn id="4" xr3:uid="{22E960BC-A427-42CE-92A7-7485F3A9B45D}" name="体重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3000/issues/91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E7" sqref="E7"/>
    </sheetView>
  </sheetViews>
  <sheetFormatPr defaultRowHeight="18.75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06814-937F-4B8A-AE3C-B0873E8B780A}">
  <sheetPr codeName="Sheet4"/>
  <dimension ref="B2:E20"/>
  <sheetViews>
    <sheetView workbookViewId="0"/>
  </sheetViews>
  <sheetFormatPr defaultRowHeight="18.75"/>
  <cols>
    <col min="1" max="4" width="9" style="4"/>
    <col min="5" max="5" width="10.25" style="4" bestFit="1" customWidth="1"/>
    <col min="6" max="16384" width="9" style="4"/>
  </cols>
  <sheetData>
    <row r="2" spans="2:2">
      <c r="B2" s="6" t="s">
        <v>41</v>
      </c>
    </row>
    <row r="3" spans="2:2">
      <c r="B3" s="6" t="s">
        <v>42</v>
      </c>
    </row>
    <row r="4" spans="2:2">
      <c r="B4" s="6" t="s">
        <v>43</v>
      </c>
    </row>
    <row r="5" spans="2:2">
      <c r="B5" s="6" t="s">
        <v>44</v>
      </c>
    </row>
    <row r="6" spans="2:2">
      <c r="B6" s="6" t="s">
        <v>45</v>
      </c>
    </row>
    <row r="7" spans="2:2">
      <c r="B7" s="6" t="s">
        <v>46</v>
      </c>
    </row>
    <row r="17" spans="3:5">
      <c r="C17" s="57" t="s">
        <v>85</v>
      </c>
      <c r="D17" s="58"/>
      <c r="E17" s="58"/>
    </row>
    <row r="18" spans="3:5">
      <c r="C18" s="5" t="s">
        <v>79</v>
      </c>
      <c r="D18" s="5" t="s">
        <v>82</v>
      </c>
      <c r="E18" s="7">
        <v>46166</v>
      </c>
    </row>
    <row r="19" spans="3:5">
      <c r="C19" s="5" t="s">
        <v>80</v>
      </c>
      <c r="D19" s="5" t="s">
        <v>83</v>
      </c>
      <c r="E19" s="7">
        <v>46167</v>
      </c>
    </row>
    <row r="20" spans="3:5">
      <c r="C20" s="5" t="s">
        <v>81</v>
      </c>
      <c r="D20" s="5" t="s">
        <v>84</v>
      </c>
      <c r="E20" s="7">
        <v>46169</v>
      </c>
    </row>
  </sheetData>
  <mergeCells count="1">
    <mergeCell ref="C17:E17"/>
  </mergeCells>
  <phoneticPr fontId="1"/>
  <hyperlinks>
    <hyperlink ref="B2" location="TopLeft!A1" display="TopLeft!A1" xr:uid="{EE5A33AD-253D-47E5-ABEF-C0D900C24FD7}"/>
    <hyperlink ref="B3" location="テキストシート!A1" display="テキストシート!A1" xr:uid="{604F6B58-E159-4E44-AD82-42843F22B1F8}"/>
    <hyperlink ref="B4" location="Shapes!A1" display="Shapes!A1" xr:uid="{03DAF9D3-AF51-4F2F-995A-B54A4501B9C6}"/>
    <hyperlink ref="B5" location="表と式!A1" display="表と式!A1" xr:uid="{62FB57F3-3E6C-4C95-A5AB-D9DA0C615539}"/>
    <hyperlink ref="B6" location="シート名にコメントを!A1" display="シート名にコメントを!A1" xr:uid="{42653EEB-9CC6-4AA6-A02A-259F9BBCE92E}"/>
    <hyperlink ref="B7" location="表とグラフ!A1" display="表とグラフ!A1" xr:uid="{E3BE6443-9D61-4AF9-92D8-4B5DCEFF3B87}"/>
  </hyperlink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950EB-378B-4675-B9AF-AD1F1AB7CF9E}">
  <sheetPr codeName="Sheet2"/>
  <dimension ref="A1:H16"/>
  <sheetViews>
    <sheetView showGridLines="0" topLeftCell="A2" zoomScale="145" zoomScaleNormal="145" workbookViewId="0">
      <selection activeCell="G19" sqref="G19"/>
    </sheetView>
  </sheetViews>
  <sheetFormatPr defaultRowHeight="18.75"/>
  <cols>
    <col min="5" max="5" width="15.5" bestFit="1" customWidth="1"/>
    <col min="6" max="6" width="0" hidden="1" customWidth="1"/>
  </cols>
  <sheetData>
    <row r="1" spans="1:8" hidden="1">
      <c r="A1" t="s">
        <v>1</v>
      </c>
    </row>
    <row r="2" spans="1:8">
      <c r="B2" t="s">
        <v>0</v>
      </c>
    </row>
    <row r="4" spans="1:8">
      <c r="E4">
        <v>1</v>
      </c>
      <c r="G4">
        <v>2</v>
      </c>
    </row>
    <row r="9" spans="1:8" hidden="1">
      <c r="A9" t="s">
        <v>2</v>
      </c>
    </row>
    <row r="10" spans="1:8">
      <c r="E10" s="1" t="s">
        <v>8</v>
      </c>
    </row>
    <row r="11" spans="1:8">
      <c r="E11" s="1" t="s">
        <v>9</v>
      </c>
    </row>
    <row r="12" spans="1:8">
      <c r="E12" s="2" t="s">
        <v>10</v>
      </c>
    </row>
    <row r="13" spans="1:8">
      <c r="E13" s="3" t="s">
        <v>11</v>
      </c>
    </row>
    <row r="14" spans="1:8">
      <c r="E14" t="s">
        <v>12</v>
      </c>
    </row>
    <row r="15" spans="1:8">
      <c r="E15" t="s">
        <v>13</v>
      </c>
    </row>
    <row r="16" spans="1:8">
      <c r="E16" t="s">
        <v>14</v>
      </c>
      <c r="H16" t="s">
        <v>7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2502A-C802-4CA3-AE30-667588D7BA19}">
  <sheetPr codeName="Sheet3"/>
  <dimension ref="B2:D6"/>
  <sheetViews>
    <sheetView view="pageBreakPreview" zoomScale="60" zoomScaleNormal="100" workbookViewId="0"/>
  </sheetViews>
  <sheetFormatPr defaultRowHeight="18.75"/>
  <sheetData>
    <row r="2" spans="2:4">
      <c r="B2" t="s">
        <v>3</v>
      </c>
    </row>
    <row r="4" spans="2:4">
      <c r="C4">
        <v>1.1000000000000001</v>
      </c>
      <c r="D4" t="s">
        <v>4</v>
      </c>
    </row>
    <row r="5" spans="2:4">
      <c r="C5">
        <v>1.2</v>
      </c>
      <c r="D5" t="s">
        <v>5</v>
      </c>
    </row>
    <row r="6" spans="2:4">
      <c r="C6">
        <v>1.3</v>
      </c>
      <c r="D6" t="s">
        <v>6</v>
      </c>
    </row>
  </sheetData>
  <phoneticPr fontId="1"/>
  <pageMargins left="0.7" right="0.7" top="0.75" bottom="0.75" header="0.3" footer="0.3"/>
  <pageSetup paperSize="9" orientation="portrait" r:id="rId1"/>
  <headerFooter>
    <oddHeader>&amp;Cヘッダーにコメントを書いてみた</oddHeader>
    <oddFooter>&amp;Cフッターにもコメントを書いてみた</oddFooter>
  </headerFooter>
  <colBreaks count="1" manualBreakCount="1">
    <brk id="6" max="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8</xdr:col>
                    <xdr:colOff>533400</xdr:colOff>
                    <xdr:row>4</xdr:row>
                    <xdr:rowOff>123825</xdr:rowOff>
                  </from>
                  <to>
                    <xdr:col>10</xdr:col>
                    <xdr:colOff>571500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DAA39-1F5C-45A1-A4DE-2A08FF592C31}">
  <sheetPr codeName="Sheet5"/>
  <dimension ref="K13"/>
  <sheetViews>
    <sheetView workbookViewId="0">
      <selection activeCell="G24" sqref="G24"/>
    </sheetView>
  </sheetViews>
  <sheetFormatPr defaultRowHeight="18.75"/>
  <sheetData>
    <row r="13" spans="11:11">
      <c r="K13" t="s">
        <v>7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AB4C4-0BB1-4EEE-B537-EF8911AA9B0A}">
  <sheetPr codeName="Sheet10"/>
  <dimension ref="G3:AZ33"/>
  <sheetViews>
    <sheetView view="pageBreakPreview" zoomScale="60" zoomScaleNormal="100" workbookViewId="0">
      <selection activeCell="G3" sqref="G3:L3"/>
    </sheetView>
  </sheetViews>
  <sheetFormatPr defaultColWidth="3.125" defaultRowHeight="18.75"/>
  <cols>
    <col min="1" max="16384" width="3.125" style="4"/>
  </cols>
  <sheetData>
    <row r="3" spans="7:52">
      <c r="G3" s="59" t="s">
        <v>86</v>
      </c>
      <c r="H3" s="59"/>
      <c r="I3" s="59"/>
      <c r="J3" s="59"/>
      <c r="K3" s="59"/>
      <c r="L3" s="59"/>
      <c r="Q3" s="59" t="s">
        <v>87</v>
      </c>
      <c r="R3" s="59"/>
      <c r="S3" s="59"/>
      <c r="T3" s="59"/>
      <c r="U3" s="59"/>
      <c r="V3" s="59"/>
      <c r="AA3" s="59" t="s">
        <v>88</v>
      </c>
      <c r="AB3" s="59"/>
      <c r="AC3" s="59"/>
      <c r="AD3" s="59"/>
      <c r="AE3" s="59"/>
      <c r="AF3" s="59"/>
      <c r="AK3" s="59" t="s">
        <v>89</v>
      </c>
      <c r="AL3" s="59"/>
      <c r="AM3" s="59"/>
      <c r="AN3" s="59"/>
      <c r="AO3" s="59"/>
      <c r="AP3" s="59"/>
      <c r="AU3" s="59" t="s">
        <v>90</v>
      </c>
      <c r="AV3" s="59"/>
      <c r="AW3" s="59"/>
      <c r="AX3" s="59"/>
      <c r="AY3" s="59"/>
      <c r="AZ3" s="59"/>
    </row>
    <row r="4" spans="7:52">
      <c r="I4" s="8"/>
      <c r="S4" s="9"/>
      <c r="AC4" s="9"/>
      <c r="AM4" s="9"/>
      <c r="AW4" s="8"/>
    </row>
    <row r="5" spans="7:52">
      <c r="I5" s="9"/>
      <c r="S5" s="9"/>
      <c r="AC5" s="9"/>
      <c r="AM5" s="9"/>
      <c r="AW5" s="9"/>
    </row>
    <row r="6" spans="7:52">
      <c r="I6" s="9"/>
      <c r="S6" s="9"/>
      <c r="AC6" s="9"/>
      <c r="AM6" s="9"/>
      <c r="AW6" s="9"/>
    </row>
    <row r="7" spans="7:52">
      <c r="I7" s="9"/>
      <c r="S7" s="9"/>
      <c r="AC7" s="9"/>
      <c r="AM7" s="9"/>
      <c r="AW7" s="9"/>
    </row>
    <row r="8" spans="7:52">
      <c r="I8" s="9"/>
      <c r="S8" s="9"/>
      <c r="AC8" s="9"/>
      <c r="AM8" s="9"/>
      <c r="AW8" s="9"/>
    </row>
    <row r="9" spans="7:52">
      <c r="I9" s="9"/>
      <c r="K9" s="4" t="s">
        <v>91</v>
      </c>
      <c r="S9" s="9"/>
      <c r="AC9" s="9"/>
      <c r="AM9" s="9"/>
      <c r="AW9" s="9"/>
    </row>
    <row r="10" spans="7:52">
      <c r="I10" s="9"/>
      <c r="S10" s="9"/>
      <c r="U10" s="4" t="s">
        <v>92</v>
      </c>
      <c r="AC10" s="9"/>
      <c r="AM10" s="9"/>
      <c r="AW10" s="9"/>
    </row>
    <row r="11" spans="7:52">
      <c r="I11" s="9"/>
      <c r="S11" s="9"/>
      <c r="AC11" s="9"/>
      <c r="AE11" s="4" t="s">
        <v>93</v>
      </c>
      <c r="AM11" s="9"/>
      <c r="AW11" s="9"/>
    </row>
    <row r="12" spans="7:52">
      <c r="I12" s="9"/>
      <c r="S12" s="9"/>
      <c r="AC12" s="9"/>
      <c r="AM12" s="9"/>
      <c r="AO12" s="4" t="s">
        <v>94</v>
      </c>
      <c r="AW12" s="9"/>
    </row>
    <row r="13" spans="7:52">
      <c r="I13" s="9"/>
      <c r="S13" s="9"/>
      <c r="AC13" s="9"/>
      <c r="AM13" s="9"/>
      <c r="AW13" s="9"/>
    </row>
    <row r="14" spans="7:52">
      <c r="I14" s="9"/>
      <c r="S14" s="9"/>
      <c r="AC14" s="9"/>
      <c r="AM14" s="9"/>
      <c r="AW14" s="9"/>
    </row>
    <row r="15" spans="7:52">
      <c r="I15" s="9"/>
      <c r="S15" s="9"/>
      <c r="AC15" s="9"/>
      <c r="AM15" s="9"/>
      <c r="AW15" s="9"/>
    </row>
    <row r="16" spans="7:52">
      <c r="I16" s="9"/>
      <c r="S16" s="9"/>
      <c r="AC16" s="9"/>
      <c r="AM16" s="9"/>
      <c r="AW16" s="9"/>
    </row>
    <row r="17" spans="9:49">
      <c r="I17" s="9"/>
      <c r="S17" s="9"/>
      <c r="AC17" s="9"/>
      <c r="AM17" s="9"/>
      <c r="AW17" s="9"/>
    </row>
    <row r="18" spans="9:49">
      <c r="I18" s="9"/>
      <c r="S18" s="9"/>
      <c r="AC18" s="9"/>
      <c r="AM18" s="9"/>
      <c r="AW18" s="9"/>
    </row>
    <row r="19" spans="9:49">
      <c r="I19" s="9"/>
      <c r="S19" s="9"/>
      <c r="AC19" s="9"/>
      <c r="AM19" s="9"/>
      <c r="AW19" s="9"/>
    </row>
    <row r="20" spans="9:49">
      <c r="I20" s="9"/>
      <c r="S20" s="9"/>
      <c r="AC20" s="9"/>
      <c r="AM20" s="9"/>
      <c r="AW20" s="9"/>
    </row>
    <row r="21" spans="9:49">
      <c r="I21" s="9"/>
      <c r="S21" s="9"/>
      <c r="AC21" s="9"/>
      <c r="AM21" s="9"/>
      <c r="AW21" s="9"/>
    </row>
    <row r="22" spans="9:49">
      <c r="I22" s="9"/>
      <c r="S22" s="9"/>
      <c r="AC22" s="9"/>
      <c r="AM22" s="9"/>
      <c r="AW22" s="9"/>
    </row>
    <row r="23" spans="9:49">
      <c r="I23" s="9"/>
      <c r="S23" s="9"/>
      <c r="AC23" s="9"/>
      <c r="AM23" s="9"/>
      <c r="AW23" s="9"/>
    </row>
    <row r="24" spans="9:49">
      <c r="I24" s="9"/>
      <c r="S24" s="9"/>
      <c r="AC24" s="9"/>
      <c r="AM24" s="9"/>
      <c r="AW24" s="9"/>
    </row>
    <row r="25" spans="9:49">
      <c r="I25" s="9"/>
      <c r="S25" s="9"/>
      <c r="AC25" s="9"/>
      <c r="AM25" s="9"/>
      <c r="AW25" s="9"/>
    </row>
    <row r="26" spans="9:49">
      <c r="I26" s="9"/>
      <c r="S26" s="9"/>
      <c r="AC26" s="9"/>
      <c r="AM26" s="9"/>
      <c r="AW26" s="9"/>
    </row>
    <row r="27" spans="9:49">
      <c r="I27" s="9"/>
      <c r="S27" s="9"/>
      <c r="AC27" s="9"/>
      <c r="AM27" s="9"/>
      <c r="AW27" s="9"/>
    </row>
    <row r="28" spans="9:49">
      <c r="I28" s="9"/>
      <c r="S28" s="9"/>
      <c r="AC28" s="9"/>
      <c r="AM28" s="9"/>
      <c r="AW28" s="9"/>
    </row>
    <row r="29" spans="9:49">
      <c r="I29" s="9"/>
      <c r="S29" s="9"/>
      <c r="AC29" s="9"/>
      <c r="AM29" s="9"/>
      <c r="AW29" s="9"/>
    </row>
    <row r="30" spans="9:49">
      <c r="I30" s="9"/>
      <c r="S30" s="9"/>
      <c r="AC30" s="9"/>
      <c r="AM30" s="9"/>
      <c r="AW30" s="9"/>
    </row>
    <row r="31" spans="9:49">
      <c r="I31" s="9"/>
      <c r="S31" s="9"/>
      <c r="AC31" s="9"/>
      <c r="AM31" s="9"/>
      <c r="AW31" s="9"/>
    </row>
    <row r="32" spans="9:49">
      <c r="I32" s="9"/>
      <c r="S32" s="9"/>
      <c r="AC32" s="9"/>
      <c r="AM32" s="9"/>
      <c r="AW32" s="9"/>
    </row>
    <row r="33" spans="9:49">
      <c r="I33" s="9"/>
      <c r="S33" s="9"/>
      <c r="AC33" s="9"/>
      <c r="AM33" s="9"/>
      <c r="AW33" s="9"/>
    </row>
  </sheetData>
  <mergeCells count="5">
    <mergeCell ref="G3:L3"/>
    <mergeCell ref="Q3:V3"/>
    <mergeCell ref="AA3:AF3"/>
    <mergeCell ref="AK3:AP3"/>
    <mergeCell ref="AU3:AZ3"/>
  </mergeCells>
  <phoneticPr fontId="1"/>
  <pageMargins left="0.7" right="0.7" top="0.75" bottom="0.75" header="0.3" footer="0.3"/>
  <pageSetup paperSize="9" orientation="portrait" r:id="rId1"/>
  <rowBreaks count="1" manualBreakCount="1">
    <brk id="17" max="55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0B99-47E8-42F3-BB17-993DD45411B7}">
  <sheetPr codeName="Sheet6"/>
  <dimension ref="C3:H19"/>
  <sheetViews>
    <sheetView workbookViewId="0"/>
  </sheetViews>
  <sheetFormatPr defaultRowHeight="18.75"/>
  <cols>
    <col min="1" max="2" width="9" style="4"/>
    <col min="3" max="3" width="9.375" style="4" bestFit="1" customWidth="1"/>
    <col min="4" max="5" width="9" style="4"/>
    <col min="6" max="6" width="10.375" style="4" customWidth="1"/>
    <col min="7" max="7" width="15" style="4" bestFit="1" customWidth="1"/>
    <col min="8" max="16384" width="9" style="4"/>
  </cols>
  <sheetData>
    <row r="3" spans="3:8">
      <c r="C3" s="5" t="s">
        <v>15</v>
      </c>
      <c r="D3" s="5" t="s">
        <v>16</v>
      </c>
      <c r="E3" s="5" t="s">
        <v>17</v>
      </c>
      <c r="F3" s="5" t="s">
        <v>18</v>
      </c>
      <c r="G3" s="5" t="s">
        <v>19</v>
      </c>
      <c r="H3" s="5" t="s">
        <v>20</v>
      </c>
    </row>
    <row r="4" spans="3:8">
      <c r="C4" s="5">
        <f>ROW()-3</f>
        <v>1</v>
      </c>
      <c r="D4" s="5" t="s">
        <v>22</v>
      </c>
      <c r="E4" s="5">
        <v>1</v>
      </c>
      <c r="F4" s="5">
        <v>2</v>
      </c>
      <c r="G4" s="5" t="s">
        <v>21</v>
      </c>
      <c r="H4" s="5">
        <f>SUM(E4,F4)</f>
        <v>3</v>
      </c>
    </row>
    <row r="5" spans="3:8">
      <c r="C5" s="5">
        <f t="shared" ref="C5:C6" si="0">ROW()-3</f>
        <v>2</v>
      </c>
      <c r="D5" s="5" t="s">
        <v>23</v>
      </c>
      <c r="E5" s="5">
        <v>3</v>
      </c>
      <c r="F5" s="5">
        <v>4</v>
      </c>
      <c r="G5" s="5" t="s">
        <v>24</v>
      </c>
      <c r="H5" s="5">
        <f>E5*F5</f>
        <v>12</v>
      </c>
    </row>
    <row r="6" spans="3:8">
      <c r="C6" s="5">
        <f t="shared" si="0"/>
        <v>3</v>
      </c>
      <c r="D6" s="5" t="s">
        <v>25</v>
      </c>
      <c r="E6" s="5">
        <v>2</v>
      </c>
      <c r="F6" s="5">
        <v>8</v>
      </c>
      <c r="G6" s="5" t="s">
        <v>40</v>
      </c>
      <c r="H6" s="5">
        <f>POWER(E6,F6)</f>
        <v>256</v>
      </c>
    </row>
    <row r="9" spans="3:8">
      <c r="C9" s="4" t="s">
        <v>35</v>
      </c>
    </row>
    <row r="10" spans="3:8">
      <c r="C10" s="4" t="s">
        <v>36</v>
      </c>
    </row>
    <row r="11" spans="3:8">
      <c r="C11" s="4" t="s">
        <v>37</v>
      </c>
    </row>
    <row r="12" spans="3:8">
      <c r="C12" s="4" t="s">
        <v>38</v>
      </c>
    </row>
    <row r="13" spans="3:8">
      <c r="C13" s="4" t="str">
        <f>C9&amp;C10&amp;C11&amp;C12</f>
        <v>コメント</v>
      </c>
      <c r="D13" s="4" t="s">
        <v>39</v>
      </c>
      <c r="H13" s="4" t="str">
        <f>IF(C13="コメント","〇","×")</f>
        <v>〇</v>
      </c>
    </row>
    <row r="14" spans="3:8">
      <c r="C14" s="4" t="s">
        <v>95</v>
      </c>
      <c r="H14" s="4" t="str">
        <f t="shared" ref="H14:H17" si="1">IF(C14="コメント","〇","×")</f>
        <v>×</v>
      </c>
    </row>
    <row r="15" spans="3:8">
      <c r="C15" s="4" t="s">
        <v>96</v>
      </c>
      <c r="H15" s="4" t="str">
        <f t="shared" si="1"/>
        <v>×</v>
      </c>
    </row>
    <row r="16" spans="3:8">
      <c r="C16" s="4" t="s">
        <v>97</v>
      </c>
      <c r="H16" s="4" t="str">
        <f t="shared" si="1"/>
        <v>×</v>
      </c>
    </row>
    <row r="17" spans="3:8">
      <c r="C17" s="4" t="s">
        <v>98</v>
      </c>
      <c r="H17" s="4" t="str">
        <f t="shared" si="1"/>
        <v>×</v>
      </c>
    </row>
    <row r="18" spans="3:8">
      <c r="C18" s="4" t="s">
        <v>99</v>
      </c>
      <c r="H18" s="4" t="str">
        <f>IF(C18="コメント","〇","×")</f>
        <v>×</v>
      </c>
    </row>
    <row r="19" spans="3:8">
      <c r="C19" s="4" t="s">
        <v>7</v>
      </c>
      <c r="H19" s="4" t="str">
        <f>IF(C19="コメント","〇","×")</f>
        <v>〇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915ED-D801-4AAF-8B6A-9368F5FF5D90}">
  <sheetPr codeName="Sheet7"/>
  <dimension ref="B2:E10"/>
  <sheetViews>
    <sheetView workbookViewId="0">
      <selection activeCell="E6" sqref="E6"/>
    </sheetView>
  </sheetViews>
  <sheetFormatPr defaultRowHeight="18.75"/>
  <cols>
    <col min="5" max="5" width="10" bestFit="1" customWidth="1"/>
  </cols>
  <sheetData>
    <row r="2" spans="2:5">
      <c r="B2" t="s">
        <v>26</v>
      </c>
    </row>
    <row r="6" spans="2:5">
      <c r="E6" s="36">
        <v>1</v>
      </c>
    </row>
    <row r="7" spans="2:5">
      <c r="E7" s="36">
        <v>2</v>
      </c>
    </row>
    <row r="8" spans="2:5">
      <c r="E8" s="36">
        <v>3</v>
      </c>
    </row>
    <row r="9" spans="2:5">
      <c r="E9" s="36">
        <v>4</v>
      </c>
    </row>
    <row r="10" spans="2:5">
      <c r="E10" s="36">
        <v>5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6A19C-C16C-4EE1-B73D-766618CD9B21}">
  <dimension ref="B2:K15"/>
  <sheetViews>
    <sheetView showGridLines="0" zoomScale="235" zoomScaleNormal="235" workbookViewId="0">
      <selection activeCell="K15" sqref="K15"/>
    </sheetView>
  </sheetViews>
  <sheetFormatPr defaultRowHeight="18.75"/>
  <cols>
    <col min="6" max="6" width="15.125" bestFit="1" customWidth="1"/>
    <col min="8" max="24" width="3.125" customWidth="1"/>
  </cols>
  <sheetData>
    <row r="2" spans="2:11" ht="19.5" thickBot="1">
      <c r="B2" s="10" t="s">
        <v>172</v>
      </c>
      <c r="D2" s="42" t="s">
        <v>178</v>
      </c>
      <c r="F2" s="48" t="s">
        <v>184</v>
      </c>
      <c r="I2" s="10"/>
      <c r="J2" s="10"/>
      <c r="K2" t="s">
        <v>189</v>
      </c>
    </row>
    <row r="3" spans="2:11" ht="19.5" thickBot="1">
      <c r="I3" s="10"/>
      <c r="J3" s="10"/>
    </row>
    <row r="4" spans="2:11" ht="20.25" thickTop="1" thickBot="1">
      <c r="B4" s="37" t="s">
        <v>173</v>
      </c>
      <c r="D4" s="43" t="s">
        <v>179</v>
      </c>
      <c r="F4" s="49" t="s">
        <v>185</v>
      </c>
    </row>
    <row r="5" spans="2:11">
      <c r="I5" s="53"/>
      <c r="J5" s="54"/>
      <c r="K5" t="s">
        <v>190</v>
      </c>
    </row>
    <row r="6" spans="2:11" ht="19.5" thickBot="1">
      <c r="B6" s="38" t="s">
        <v>174</v>
      </c>
      <c r="D6" s="44" t="s">
        <v>180</v>
      </c>
      <c r="F6" s="50" t="s">
        <v>186</v>
      </c>
      <c r="I6" s="34"/>
      <c r="J6" s="35"/>
    </row>
    <row r="7" spans="2:11" ht="19.5" thickTop="1"/>
    <row r="8" spans="2:11" ht="19.5" thickBot="1">
      <c r="B8" s="39" t="s">
        <v>175</v>
      </c>
      <c r="D8" s="45" t="s">
        <v>181</v>
      </c>
      <c r="F8" s="51" t="s">
        <v>187</v>
      </c>
      <c r="I8" s="60"/>
      <c r="J8" s="61"/>
      <c r="K8" t="s">
        <v>191</v>
      </c>
    </row>
    <row r="9" spans="2:11">
      <c r="I9" s="62"/>
      <c r="J9" s="63"/>
    </row>
    <row r="10" spans="2:11" ht="19.5" thickBot="1">
      <c r="B10" s="40" t="s">
        <v>176</v>
      </c>
      <c r="D10" s="46" t="s">
        <v>182</v>
      </c>
      <c r="F10" s="52" t="s">
        <v>188</v>
      </c>
    </row>
    <row r="11" spans="2:11">
      <c r="I11" s="55"/>
      <c r="J11" s="55"/>
      <c r="K11" t="s">
        <v>192</v>
      </c>
    </row>
    <row r="12" spans="2:11" ht="19.5" thickBot="1">
      <c r="B12" s="41" t="s">
        <v>177</v>
      </c>
      <c r="D12" s="47" t="s">
        <v>183</v>
      </c>
      <c r="I12" s="55"/>
      <c r="J12" s="55"/>
    </row>
    <row r="14" spans="2:11">
      <c r="I14" s="64"/>
      <c r="J14" s="65"/>
      <c r="K14" t="s">
        <v>193</v>
      </c>
    </row>
    <row r="15" spans="2:11">
      <c r="I15" s="66"/>
      <c r="J15" s="67"/>
    </row>
  </sheetData>
  <mergeCells count="2">
    <mergeCell ref="I8:J9"/>
    <mergeCell ref="I14:J15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7BD5-8086-4EE1-A108-B150F8F80B6D}">
  <sheetPr codeName="Sheet8"/>
  <dimension ref="C3:F7"/>
  <sheetViews>
    <sheetView workbookViewId="0">
      <selection activeCell="F5" sqref="F5"/>
    </sheetView>
  </sheetViews>
  <sheetFormatPr defaultRowHeight="18.75"/>
  <cols>
    <col min="1" max="16384" width="9" style="4"/>
  </cols>
  <sheetData>
    <row r="3" spans="3:6">
      <c r="C3" s="5" t="s">
        <v>27</v>
      </c>
      <c r="D3" s="5" t="s">
        <v>34</v>
      </c>
      <c r="E3" s="5" t="s">
        <v>32</v>
      </c>
      <c r="F3" s="5" t="s">
        <v>33</v>
      </c>
    </row>
    <row r="4" spans="3:6">
      <c r="C4" s="5" t="s">
        <v>28</v>
      </c>
      <c r="D4" s="31">
        <v>33</v>
      </c>
      <c r="E4" s="32">
        <v>178</v>
      </c>
      <c r="F4" s="33">
        <v>75</v>
      </c>
    </row>
    <row r="5" spans="3:6">
      <c r="C5" s="5" t="s">
        <v>29</v>
      </c>
      <c r="D5" s="31">
        <v>24</v>
      </c>
      <c r="E5" s="32">
        <v>155</v>
      </c>
      <c r="F5" s="33">
        <v>58</v>
      </c>
    </row>
    <row r="6" spans="3:6">
      <c r="C6" s="5" t="s">
        <v>30</v>
      </c>
      <c r="D6" s="31">
        <v>45</v>
      </c>
      <c r="E6" s="32">
        <v>167</v>
      </c>
      <c r="F6" s="33">
        <v>55</v>
      </c>
    </row>
    <row r="7" spans="3:6">
      <c r="C7" s="5" t="s">
        <v>31</v>
      </c>
      <c r="D7" s="31">
        <v>57</v>
      </c>
      <c r="E7" s="32">
        <v>160</v>
      </c>
      <c r="F7" s="33">
        <v>48</v>
      </c>
    </row>
  </sheetData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DCB24-7CF4-4390-AA97-B8F49B81BB49}">
  <sheetPr codeName="Sheet9"/>
  <dimension ref="C4:AA21"/>
  <sheetViews>
    <sheetView view="pageBreakPreview" zoomScaleNormal="100" zoomScaleSheetLayoutView="100" workbookViewId="0"/>
  </sheetViews>
  <sheetFormatPr defaultColWidth="3.25" defaultRowHeight="18.75"/>
  <cols>
    <col min="1" max="2" width="3.25" style="4"/>
    <col min="3" max="3" width="4.5" style="4" bestFit="1" customWidth="1"/>
    <col min="4" max="7" width="3.25" style="4"/>
    <col min="8" max="8" width="9.5" style="4" bestFit="1" customWidth="1"/>
    <col min="9" max="16384" width="3.25" style="4"/>
  </cols>
  <sheetData>
    <row r="4" spans="3:27">
      <c r="C4" s="5" t="s">
        <v>15</v>
      </c>
      <c r="D4" s="57" t="s">
        <v>27</v>
      </c>
      <c r="E4" s="58"/>
      <c r="F4" s="58"/>
      <c r="G4" s="58"/>
      <c r="H4" s="68" t="s">
        <v>47</v>
      </c>
      <c r="I4" s="71"/>
      <c r="J4" s="71"/>
      <c r="K4" s="71"/>
      <c r="L4" s="71"/>
      <c r="M4" s="71"/>
      <c r="N4" s="71"/>
      <c r="O4" s="72"/>
      <c r="P4" s="68" t="s">
        <v>48</v>
      </c>
      <c r="Q4" s="69"/>
      <c r="R4" s="69"/>
      <c r="S4" s="70"/>
      <c r="T4" s="68" t="s">
        <v>49</v>
      </c>
      <c r="U4" s="69"/>
      <c r="V4" s="69"/>
      <c r="W4" s="70"/>
      <c r="AA4" s="4" t="s">
        <v>54</v>
      </c>
    </row>
    <row r="5" spans="3:27">
      <c r="C5" s="5">
        <f>ROW()-4</f>
        <v>1</v>
      </c>
      <c r="D5" s="57" t="s">
        <v>50</v>
      </c>
      <c r="E5" s="58"/>
      <c r="F5" s="58"/>
      <c r="G5" s="58"/>
      <c r="H5" s="68" t="s">
        <v>67</v>
      </c>
      <c r="I5" s="71"/>
      <c r="J5" s="71"/>
      <c r="K5" s="71"/>
      <c r="L5" s="71"/>
      <c r="M5" s="71"/>
      <c r="N5" s="71"/>
      <c r="O5" s="72"/>
      <c r="P5" s="68" t="s">
        <v>55</v>
      </c>
      <c r="Q5" s="69"/>
      <c r="R5" s="69"/>
      <c r="S5" s="70"/>
      <c r="T5" s="68" t="s">
        <v>64</v>
      </c>
      <c r="U5" s="69"/>
      <c r="V5" s="69"/>
      <c r="W5" s="70"/>
      <c r="AA5" s="4" t="s">
        <v>56</v>
      </c>
    </row>
    <row r="6" spans="3:27">
      <c r="C6" s="5">
        <f t="shared" ref="C6:C15" si="0">ROW()-4</f>
        <v>2</v>
      </c>
      <c r="D6" s="57" t="s">
        <v>51</v>
      </c>
      <c r="E6" s="58"/>
      <c r="F6" s="58"/>
      <c r="G6" s="58"/>
      <c r="H6" s="68" t="s">
        <v>66</v>
      </c>
      <c r="I6" s="71"/>
      <c r="J6" s="71"/>
      <c r="K6" s="71"/>
      <c r="L6" s="71"/>
      <c r="M6" s="71"/>
      <c r="N6" s="71"/>
      <c r="O6" s="72"/>
      <c r="P6" s="68" t="s">
        <v>53</v>
      </c>
      <c r="Q6" s="69"/>
      <c r="R6" s="69"/>
      <c r="S6" s="70"/>
      <c r="T6" s="68" t="s">
        <v>63</v>
      </c>
      <c r="U6" s="69"/>
      <c r="V6" s="69"/>
      <c r="W6" s="70"/>
      <c r="AA6" s="4" t="s">
        <v>58</v>
      </c>
    </row>
    <row r="7" spans="3:27">
      <c r="C7" s="5">
        <f t="shared" si="0"/>
        <v>3</v>
      </c>
      <c r="D7" s="57" t="s">
        <v>51</v>
      </c>
      <c r="E7" s="58"/>
      <c r="F7" s="58"/>
      <c r="G7" s="58"/>
      <c r="H7" s="68" t="s">
        <v>68</v>
      </c>
      <c r="I7" s="71"/>
      <c r="J7" s="71"/>
      <c r="K7" s="71"/>
      <c r="L7" s="71"/>
      <c r="M7" s="71"/>
      <c r="N7" s="71"/>
      <c r="O7" s="72"/>
      <c r="P7" s="68" t="s">
        <v>57</v>
      </c>
      <c r="Q7" s="69"/>
      <c r="R7" s="69"/>
      <c r="S7" s="70"/>
      <c r="T7" s="73" t="s">
        <v>78</v>
      </c>
      <c r="U7" s="74"/>
      <c r="V7" s="74"/>
      <c r="W7" s="75"/>
    </row>
    <row r="8" spans="3:27">
      <c r="C8" s="5">
        <f t="shared" si="0"/>
        <v>4</v>
      </c>
      <c r="D8" s="57" t="s">
        <v>52</v>
      </c>
      <c r="E8" s="58"/>
      <c r="F8" s="58"/>
      <c r="G8" s="58"/>
      <c r="H8" s="68" t="s">
        <v>69</v>
      </c>
      <c r="I8" s="71"/>
      <c r="J8" s="71"/>
      <c r="K8" s="71"/>
      <c r="L8" s="71"/>
      <c r="M8" s="71"/>
      <c r="N8" s="71"/>
      <c r="O8" s="72"/>
      <c r="P8" s="68" t="s">
        <v>57</v>
      </c>
      <c r="Q8" s="69"/>
      <c r="R8" s="69"/>
      <c r="S8" s="70"/>
      <c r="T8" s="62"/>
      <c r="U8" s="76"/>
      <c r="V8" s="76"/>
      <c r="W8" s="63"/>
    </row>
    <row r="9" spans="3:27">
      <c r="C9" s="5">
        <f t="shared" si="0"/>
        <v>5</v>
      </c>
      <c r="D9" s="57" t="s">
        <v>50</v>
      </c>
      <c r="E9" s="58"/>
      <c r="F9" s="58"/>
      <c r="G9" s="58"/>
      <c r="H9" s="68" t="s">
        <v>70</v>
      </c>
      <c r="I9" s="71"/>
      <c r="J9" s="71"/>
      <c r="K9" s="71"/>
      <c r="L9" s="71"/>
      <c r="M9" s="71"/>
      <c r="N9" s="71"/>
      <c r="O9" s="72"/>
      <c r="P9" s="68" t="s">
        <v>53</v>
      </c>
      <c r="Q9" s="69"/>
      <c r="R9" s="69"/>
      <c r="S9" s="70"/>
      <c r="T9" s="68" t="s">
        <v>62</v>
      </c>
      <c r="U9" s="69"/>
      <c r="V9" s="69"/>
      <c r="W9" s="70"/>
    </row>
    <row r="10" spans="3:27">
      <c r="C10" s="5">
        <f t="shared" si="0"/>
        <v>6</v>
      </c>
      <c r="D10" s="57" t="s">
        <v>51</v>
      </c>
      <c r="E10" s="58"/>
      <c r="F10" s="58"/>
      <c r="G10" s="58"/>
      <c r="H10" s="68" t="s">
        <v>71</v>
      </c>
      <c r="I10" s="71"/>
      <c r="J10" s="71"/>
      <c r="K10" s="71"/>
      <c r="L10" s="71"/>
      <c r="M10" s="71"/>
      <c r="N10" s="71"/>
      <c r="O10" s="72"/>
      <c r="P10" s="68" t="s">
        <v>55</v>
      </c>
      <c r="Q10" s="69"/>
      <c r="R10" s="69"/>
      <c r="S10" s="70"/>
      <c r="T10" s="68" t="s">
        <v>65</v>
      </c>
      <c r="U10" s="69"/>
      <c r="V10" s="69"/>
      <c r="W10" s="70"/>
    </row>
    <row r="11" spans="3:27">
      <c r="C11" s="5">
        <f t="shared" si="0"/>
        <v>7</v>
      </c>
      <c r="D11" s="57" t="s">
        <v>50</v>
      </c>
      <c r="E11" s="58"/>
      <c r="F11" s="58"/>
      <c r="G11" s="58"/>
      <c r="H11" s="68" t="s">
        <v>72</v>
      </c>
      <c r="I11" s="71"/>
      <c r="J11" s="71"/>
      <c r="K11" s="71"/>
      <c r="L11" s="71"/>
      <c r="M11" s="71"/>
      <c r="N11" s="71"/>
      <c r="O11" s="72"/>
      <c r="P11" s="68" t="s">
        <v>55</v>
      </c>
      <c r="Q11" s="69"/>
      <c r="R11" s="69"/>
      <c r="S11" s="70"/>
      <c r="T11" s="68"/>
      <c r="U11" s="69"/>
      <c r="V11" s="69"/>
      <c r="W11" s="70"/>
    </row>
    <row r="12" spans="3:27">
      <c r="C12" s="5">
        <f t="shared" si="0"/>
        <v>8</v>
      </c>
      <c r="D12" s="57" t="s">
        <v>52</v>
      </c>
      <c r="E12" s="58"/>
      <c r="F12" s="58"/>
      <c r="G12" s="58"/>
      <c r="H12" s="68" t="s">
        <v>73</v>
      </c>
      <c r="I12" s="71"/>
      <c r="J12" s="71"/>
      <c r="K12" s="71"/>
      <c r="L12" s="71"/>
      <c r="M12" s="71"/>
      <c r="N12" s="71"/>
      <c r="O12" s="72"/>
      <c r="P12" s="68" t="s">
        <v>57</v>
      </c>
      <c r="Q12" s="69"/>
      <c r="R12" s="69"/>
      <c r="S12" s="70"/>
      <c r="T12" s="68" t="s">
        <v>59</v>
      </c>
      <c r="U12" s="69"/>
      <c r="V12" s="69"/>
      <c r="W12" s="70"/>
    </row>
    <row r="13" spans="3:27">
      <c r="C13" s="5">
        <f t="shared" si="0"/>
        <v>9</v>
      </c>
      <c r="D13" s="57" t="s">
        <v>51</v>
      </c>
      <c r="E13" s="58"/>
      <c r="F13" s="58"/>
      <c r="G13" s="58"/>
      <c r="H13" s="68" t="s">
        <v>74</v>
      </c>
      <c r="I13" s="71"/>
      <c r="J13" s="71"/>
      <c r="K13" s="71"/>
      <c r="L13" s="71"/>
      <c r="M13" s="71"/>
      <c r="N13" s="71"/>
      <c r="O13" s="72"/>
      <c r="P13" s="68" t="s">
        <v>53</v>
      </c>
      <c r="Q13" s="69"/>
      <c r="R13" s="69"/>
      <c r="S13" s="70"/>
      <c r="T13" s="68"/>
      <c r="U13" s="69"/>
      <c r="V13" s="69"/>
      <c r="W13" s="70"/>
    </row>
    <row r="14" spans="3:27">
      <c r="C14" s="5">
        <f t="shared" si="0"/>
        <v>10</v>
      </c>
      <c r="D14" s="57"/>
      <c r="E14" s="58"/>
      <c r="F14" s="58"/>
      <c r="G14" s="58"/>
      <c r="H14" s="68" t="s">
        <v>75</v>
      </c>
      <c r="I14" s="71"/>
      <c r="J14" s="71"/>
      <c r="K14" s="71"/>
      <c r="L14" s="71"/>
      <c r="M14" s="71"/>
      <c r="N14" s="71"/>
      <c r="O14" s="72"/>
      <c r="P14" s="68" t="s">
        <v>53</v>
      </c>
      <c r="Q14" s="69"/>
      <c r="R14" s="69"/>
      <c r="S14" s="70"/>
      <c r="T14" s="68" t="s">
        <v>61</v>
      </c>
      <c r="U14" s="69"/>
      <c r="V14" s="69"/>
      <c r="W14" s="70"/>
    </row>
    <row r="15" spans="3:27">
      <c r="C15" s="5">
        <f t="shared" si="0"/>
        <v>11</v>
      </c>
      <c r="D15" s="57" t="s">
        <v>50</v>
      </c>
      <c r="E15" s="58"/>
      <c r="F15" s="58"/>
      <c r="G15" s="58"/>
      <c r="H15" s="68" t="s">
        <v>76</v>
      </c>
      <c r="I15" s="71"/>
      <c r="J15" s="71"/>
      <c r="K15" s="71"/>
      <c r="L15" s="71"/>
      <c r="M15" s="71"/>
      <c r="N15" s="71"/>
      <c r="O15" s="72"/>
      <c r="P15" s="68" t="s">
        <v>57</v>
      </c>
      <c r="Q15" s="69"/>
      <c r="R15" s="69"/>
      <c r="S15" s="70"/>
      <c r="T15" s="68" t="s">
        <v>60</v>
      </c>
      <c r="U15" s="69"/>
      <c r="V15" s="69"/>
      <c r="W15" s="70"/>
    </row>
    <row r="17" spans="8:9">
      <c r="H17" s="4" t="s">
        <v>77</v>
      </c>
    </row>
    <row r="18" spans="8:9">
      <c r="H18" s="4">
        <f>[1]テキストシート!C4</f>
        <v>1.1000000000000001</v>
      </c>
      <c r="I18" s="4" t="str">
        <f>[1]テキストシート!D4</f>
        <v>目的</v>
      </c>
    </row>
    <row r="19" spans="8:9">
      <c r="H19" s="4">
        <f>[1]テキストシート!C5</f>
        <v>1.2</v>
      </c>
      <c r="I19" s="4" t="str">
        <f>[1]テキストシート!D5</f>
        <v>目次</v>
      </c>
    </row>
    <row r="20" spans="8:9">
      <c r="H20" s="4">
        <f>[1]テキストシート!C6</f>
        <v>1.3</v>
      </c>
      <c r="I20" s="4" t="str">
        <f>[1]テキストシート!D6</f>
        <v>概略</v>
      </c>
    </row>
    <row r="21" spans="8:9">
      <c r="H21" s="4">
        <f>[1]テキストシート!C7</f>
        <v>1.4</v>
      </c>
      <c r="I21" s="4" t="str">
        <f>[1]テキストシート!D7</f>
        <v>コメント</v>
      </c>
    </row>
  </sheetData>
  <mergeCells count="47">
    <mergeCell ref="D15:G15"/>
    <mergeCell ref="D4:G4"/>
    <mergeCell ref="D5:G5"/>
    <mergeCell ref="D6:G6"/>
    <mergeCell ref="D7:G7"/>
    <mergeCell ref="D8:G8"/>
    <mergeCell ref="D9:G9"/>
    <mergeCell ref="D10:G10"/>
    <mergeCell ref="D11:G11"/>
    <mergeCell ref="D12:G12"/>
    <mergeCell ref="D13:G13"/>
    <mergeCell ref="D14:G14"/>
    <mergeCell ref="P4:S4"/>
    <mergeCell ref="T4:W4"/>
    <mergeCell ref="P5:S5"/>
    <mergeCell ref="T5:W5"/>
    <mergeCell ref="H4:O4"/>
    <mergeCell ref="H5:O5"/>
    <mergeCell ref="P6:S6"/>
    <mergeCell ref="T6:W6"/>
    <mergeCell ref="P7:S7"/>
    <mergeCell ref="H6:O6"/>
    <mergeCell ref="H7:O7"/>
    <mergeCell ref="P8:S8"/>
    <mergeCell ref="P9:S9"/>
    <mergeCell ref="T9:W9"/>
    <mergeCell ref="H8:O8"/>
    <mergeCell ref="H9:O9"/>
    <mergeCell ref="T7:W8"/>
    <mergeCell ref="P10:S10"/>
    <mergeCell ref="T10:W10"/>
    <mergeCell ref="P11:S11"/>
    <mergeCell ref="T11:W11"/>
    <mergeCell ref="H10:O10"/>
    <mergeCell ref="H11:O11"/>
    <mergeCell ref="P12:S12"/>
    <mergeCell ref="T12:W12"/>
    <mergeCell ref="P13:S13"/>
    <mergeCell ref="T13:W13"/>
    <mergeCell ref="H12:O12"/>
    <mergeCell ref="H13:O13"/>
    <mergeCell ref="P14:S14"/>
    <mergeCell ref="T14:W14"/>
    <mergeCell ref="P15:S15"/>
    <mergeCell ref="T15:W15"/>
    <mergeCell ref="H14:O14"/>
    <mergeCell ref="H15:O15"/>
  </mergeCells>
  <phoneticPr fontId="1"/>
  <dataValidations count="2">
    <dataValidation type="list" allowBlank="1" showInputMessage="1" showErrorMessage="1" sqref="D5:G15" xr:uid="{519FB7E0-3077-4B44-AD82-F83D2AE3C7BE}">
      <formula1>"ItemA,ItemB,ItemC"</formula1>
    </dataValidation>
    <dataValidation type="list" allowBlank="1" showInputMessage="1" showErrorMessage="1" sqref="P5:S15" xr:uid="{F8ED361D-01A7-4F36-AB22-B8EB2CB2BFC4}">
      <formula1>$AA$4:$AA$6</formula1>
    </dataValidation>
  </dataValidations>
  <pageMargins left="0.7" right="0.7" top="0.75" bottom="0.75" header="0.3" footer="0.3"/>
  <pageSetup paperSize="9" scale="81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36007-338F-4A4A-A4DA-75428B4C03B9}">
  <sheetPr codeName="Sheet12"/>
  <dimension ref="B2:G7"/>
  <sheetViews>
    <sheetView workbookViewId="0">
      <selection activeCell="G2" sqref="G2"/>
    </sheetView>
  </sheetViews>
  <sheetFormatPr defaultRowHeight="18.75"/>
  <cols>
    <col min="1" max="6" width="9" style="4"/>
    <col min="7" max="7" width="9" style="30"/>
    <col min="8" max="16384" width="9" style="4"/>
  </cols>
  <sheetData>
    <row r="2" spans="2:7">
      <c r="B2" s="6" t="s">
        <v>100</v>
      </c>
    </row>
    <row r="4" spans="2:7">
      <c r="B4" s="6" t="str">
        <f>HYPERLINK("http://localhost:3000/issues/89")</f>
        <v>http://localhost:3000/issues/89</v>
      </c>
    </row>
    <row r="7" spans="2:7" s="29" customFormat="1">
      <c r="G7" s="30"/>
    </row>
  </sheetData>
  <phoneticPr fontId="1"/>
  <hyperlinks>
    <hyperlink ref="B2" r:id="rId1" xr:uid="{C6EDE8E3-967E-4741-8F7B-8D8A5EDD147B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BF263-F53A-4B65-8E80-FB1CCD7A3D56}">
  <sheetPr codeName="Sheet13"/>
  <dimension ref="A1:E9"/>
  <sheetViews>
    <sheetView tabSelected="1" view="pageBreakPreview" zoomScaleNormal="100" zoomScaleSheetLayoutView="100" workbookViewId="0">
      <selection activeCell="E9" sqref="E9"/>
    </sheetView>
  </sheetViews>
  <sheetFormatPr defaultRowHeight="18.75"/>
  <cols>
    <col min="5" max="5" width="10.25" bestFit="1" customWidth="1"/>
  </cols>
  <sheetData>
    <row r="1" spans="1:5">
      <c r="A1" t="s">
        <v>101</v>
      </c>
    </row>
    <row r="2" spans="1:5">
      <c r="B2" t="s">
        <v>102</v>
      </c>
    </row>
    <row r="3" spans="1:5">
      <c r="C3" t="s">
        <v>103</v>
      </c>
    </row>
    <row r="9" spans="1:5">
      <c r="E9" s="11">
        <f ca="1">現在日付</f>
        <v>46201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4FD1B-D132-4E01-B48C-198863E1B0CE}">
  <sheetPr codeName="Sheet14" filterMode="1"/>
  <dimension ref="B2:G22"/>
  <sheetViews>
    <sheetView showGridLines="0" workbookViewId="0">
      <selection activeCell="F28" sqref="F28"/>
    </sheetView>
  </sheetViews>
  <sheetFormatPr defaultRowHeight="18.75"/>
  <sheetData>
    <row r="2" spans="2:7">
      <c r="B2" s="10" t="s">
        <v>105</v>
      </c>
      <c r="C2" s="10" t="s">
        <v>106</v>
      </c>
      <c r="D2" s="10" t="s">
        <v>107</v>
      </c>
      <c r="E2" s="10" t="s">
        <v>108</v>
      </c>
      <c r="F2" s="10" t="s">
        <v>109</v>
      </c>
      <c r="G2" s="10" t="s">
        <v>153</v>
      </c>
    </row>
    <row r="3" spans="2:7" hidden="1">
      <c r="B3" s="10">
        <v>1</v>
      </c>
      <c r="C3" s="10" t="s">
        <v>110</v>
      </c>
      <c r="D3" s="10" t="s">
        <v>115</v>
      </c>
      <c r="E3" s="10" t="s">
        <v>119</v>
      </c>
      <c r="F3" s="10" t="s">
        <v>123</v>
      </c>
      <c r="G3" s="10">
        <v>100</v>
      </c>
    </row>
    <row r="4" spans="2:7" hidden="1">
      <c r="B4" s="10">
        <v>2</v>
      </c>
      <c r="C4" s="10" t="s">
        <v>111</v>
      </c>
      <c r="D4" s="10" t="s">
        <v>116</v>
      </c>
      <c r="E4" s="10" t="s">
        <v>120</v>
      </c>
      <c r="F4" s="10" t="s">
        <v>124</v>
      </c>
      <c r="G4" s="10">
        <v>125</v>
      </c>
    </row>
    <row r="5" spans="2:7" hidden="1">
      <c r="B5" s="10">
        <v>3</v>
      </c>
      <c r="C5" s="10" t="s">
        <v>112</v>
      </c>
      <c r="D5" s="10" t="s">
        <v>115</v>
      </c>
      <c r="E5" s="10" t="s">
        <v>121</v>
      </c>
      <c r="F5" s="10" t="s">
        <v>125</v>
      </c>
      <c r="G5" s="10">
        <v>110</v>
      </c>
    </row>
    <row r="6" spans="2:7" hidden="1">
      <c r="B6" s="10">
        <v>4</v>
      </c>
      <c r="C6" s="10" t="s">
        <v>112</v>
      </c>
      <c r="D6" s="10" t="s">
        <v>117</v>
      </c>
      <c r="E6" s="10" t="s">
        <v>120</v>
      </c>
      <c r="F6" s="10" t="s">
        <v>126</v>
      </c>
      <c r="G6" s="10">
        <v>95</v>
      </c>
    </row>
    <row r="7" spans="2:7" hidden="1">
      <c r="B7" s="10">
        <v>5</v>
      </c>
      <c r="C7" s="10" t="s">
        <v>113</v>
      </c>
      <c r="D7" s="10" t="s">
        <v>118</v>
      </c>
      <c r="E7" s="10" t="s">
        <v>119</v>
      </c>
      <c r="F7" s="10" t="s">
        <v>127</v>
      </c>
      <c r="G7" s="10">
        <v>98</v>
      </c>
    </row>
    <row r="8" spans="2:7" hidden="1">
      <c r="B8" s="19">
        <v>6</v>
      </c>
      <c r="C8" s="19" t="s">
        <v>114</v>
      </c>
      <c r="D8" s="19" t="s">
        <v>118</v>
      </c>
      <c r="E8" s="19" t="s">
        <v>122</v>
      </c>
      <c r="F8" s="19" t="s">
        <v>128</v>
      </c>
      <c r="G8" s="19">
        <v>111</v>
      </c>
    </row>
    <row r="9" spans="2:7" hidden="1">
      <c r="B9" s="10">
        <v>7</v>
      </c>
      <c r="C9" s="10" t="s">
        <v>110</v>
      </c>
      <c r="D9" s="10" t="s">
        <v>117</v>
      </c>
      <c r="E9" s="10" t="s">
        <v>119</v>
      </c>
      <c r="F9" s="10" t="s">
        <v>129</v>
      </c>
      <c r="G9" s="10">
        <v>107</v>
      </c>
    </row>
    <row r="10" spans="2:7" hidden="1">
      <c r="B10" s="10">
        <v>8</v>
      </c>
      <c r="C10" s="20"/>
      <c r="D10" s="10" t="s">
        <v>131</v>
      </c>
      <c r="E10" s="10" t="s">
        <v>132</v>
      </c>
      <c r="F10" s="10" t="s">
        <v>133</v>
      </c>
      <c r="G10" s="20">
        <v>140</v>
      </c>
    </row>
    <row r="11" spans="2:7" hidden="1">
      <c r="B11" s="10">
        <v>9</v>
      </c>
      <c r="C11" s="10" t="s">
        <v>130</v>
      </c>
      <c r="D11" s="10" t="s">
        <v>117</v>
      </c>
      <c r="E11" s="10"/>
      <c r="F11" s="20" t="s">
        <v>134</v>
      </c>
      <c r="G11" s="10">
        <v>132</v>
      </c>
    </row>
    <row r="12" spans="2:7" hidden="1">
      <c r="B12" s="10">
        <v>10</v>
      </c>
      <c r="C12" s="10" t="s">
        <v>110</v>
      </c>
      <c r="D12" s="10" t="s">
        <v>116</v>
      </c>
      <c r="E12" s="10" t="s">
        <v>122</v>
      </c>
      <c r="F12" s="10" t="s">
        <v>157</v>
      </c>
      <c r="G12" s="10">
        <v>122</v>
      </c>
    </row>
    <row r="13" spans="2:7" hidden="1">
      <c r="B13" s="19">
        <v>11</v>
      </c>
      <c r="C13" s="19" t="s">
        <v>110</v>
      </c>
      <c r="D13" s="19" t="s">
        <v>117</v>
      </c>
      <c r="E13" s="19" t="s">
        <v>120</v>
      </c>
      <c r="F13" s="19"/>
      <c r="G13" s="19">
        <v>100</v>
      </c>
    </row>
    <row r="14" spans="2:7" hidden="1">
      <c r="B14" s="10">
        <v>12</v>
      </c>
      <c r="C14" s="10" t="s">
        <v>147</v>
      </c>
      <c r="D14" s="10" t="s">
        <v>115</v>
      </c>
      <c r="E14" s="10" t="s">
        <v>120</v>
      </c>
      <c r="F14" s="10" t="s">
        <v>126</v>
      </c>
      <c r="G14" s="10">
        <v>88</v>
      </c>
    </row>
    <row r="15" spans="2:7" hidden="1">
      <c r="B15" s="10">
        <v>13</v>
      </c>
      <c r="C15" s="10" t="s">
        <v>148</v>
      </c>
      <c r="D15" s="20" t="s">
        <v>154</v>
      </c>
      <c r="E15" s="10" t="s">
        <v>121</v>
      </c>
      <c r="F15" s="10" t="s">
        <v>126</v>
      </c>
      <c r="G15" s="10">
        <v>87</v>
      </c>
    </row>
    <row r="16" spans="2:7" hidden="1">
      <c r="B16" s="10">
        <v>14</v>
      </c>
      <c r="C16" s="10" t="s">
        <v>149</v>
      </c>
      <c r="D16" s="10" t="s">
        <v>131</v>
      </c>
      <c r="E16" s="10" t="s">
        <v>119</v>
      </c>
      <c r="F16" s="10" t="s">
        <v>124</v>
      </c>
      <c r="G16" s="10">
        <v>90</v>
      </c>
    </row>
    <row r="17" spans="2:7" hidden="1">
      <c r="B17" s="10">
        <v>15</v>
      </c>
      <c r="C17" s="10" t="s">
        <v>150</v>
      </c>
      <c r="D17" s="10" t="s">
        <v>117</v>
      </c>
      <c r="E17" s="10" t="s">
        <v>119</v>
      </c>
      <c r="F17" s="10" t="s">
        <v>125</v>
      </c>
      <c r="G17" s="10">
        <v>95</v>
      </c>
    </row>
    <row r="18" spans="2:7">
      <c r="B18" s="19">
        <v>16</v>
      </c>
      <c r="C18" s="19" t="s">
        <v>148</v>
      </c>
      <c r="D18" s="19" t="s">
        <v>115</v>
      </c>
      <c r="E18" s="19" t="s">
        <v>122</v>
      </c>
      <c r="F18" s="19" t="s">
        <v>124</v>
      </c>
      <c r="G18" s="19">
        <v>104</v>
      </c>
    </row>
    <row r="19" spans="2:7" hidden="1">
      <c r="B19" s="10">
        <v>17</v>
      </c>
      <c r="C19" s="10" t="s">
        <v>149</v>
      </c>
      <c r="D19" s="10" t="s">
        <v>115</v>
      </c>
      <c r="E19" s="10" t="s">
        <v>155</v>
      </c>
      <c r="F19" s="10" t="s">
        <v>123</v>
      </c>
      <c r="G19" s="10">
        <v>99</v>
      </c>
    </row>
    <row r="20" spans="2:7">
      <c r="B20" s="19">
        <v>18</v>
      </c>
      <c r="C20" s="19" t="s">
        <v>151</v>
      </c>
      <c r="D20" s="19" t="s">
        <v>116</v>
      </c>
      <c r="E20" s="19" t="s">
        <v>156</v>
      </c>
      <c r="F20" s="19" t="s">
        <v>129</v>
      </c>
      <c r="G20" s="19">
        <v>104</v>
      </c>
    </row>
    <row r="21" spans="2:7" hidden="1">
      <c r="B21" s="10">
        <v>19</v>
      </c>
      <c r="C21" s="10" t="s">
        <v>152</v>
      </c>
      <c r="D21" s="10"/>
      <c r="E21" s="10" t="s">
        <v>156</v>
      </c>
      <c r="F21" s="10" t="s">
        <v>128</v>
      </c>
      <c r="G21" s="10">
        <v>115</v>
      </c>
    </row>
    <row r="22" spans="2:7" hidden="1">
      <c r="B22" s="10">
        <v>20</v>
      </c>
      <c r="C22" s="10" t="s">
        <v>152</v>
      </c>
      <c r="D22" s="10" t="s">
        <v>131</v>
      </c>
      <c r="E22" s="10" t="s">
        <v>119</v>
      </c>
      <c r="F22" s="10" t="s">
        <v>128</v>
      </c>
      <c r="G22" s="10">
        <v>108</v>
      </c>
    </row>
  </sheetData>
  <autoFilter ref="B2:G22" xr:uid="{A224FD1B-D132-4E01-B48C-198863E1B0CE}">
    <filterColumn colId="1">
      <customFilters and="1">
        <customFilter val="C*"/>
        <customFilter val="*e"/>
      </customFilters>
    </filterColumn>
    <filterColumn colId="3">
      <customFilters>
        <customFilter val="Er*"/>
      </customFilters>
    </filterColumn>
    <filterColumn colId="4">
      <colorFilter dxfId="25"/>
    </filterColumn>
    <filterColumn colId="5">
      <customFilters>
        <customFilter operator="greaterThanOrEqual" val="101"/>
      </customFilters>
    </filterColumn>
  </autoFilter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66A75-0675-4EAC-9CD4-13D3138AD259}">
  <sheetPr codeName="Sheet15"/>
  <dimension ref="B2:F19"/>
  <sheetViews>
    <sheetView workbookViewId="0">
      <selection activeCell="D24" sqref="D24"/>
    </sheetView>
  </sheetViews>
  <sheetFormatPr defaultRowHeight="18.75"/>
  <cols>
    <col min="3" max="3" width="38.25" customWidth="1"/>
    <col min="4" max="4" width="25.125" customWidth="1"/>
    <col min="5" max="5" width="22.875" customWidth="1"/>
    <col min="6" max="6" width="38.125" customWidth="1"/>
  </cols>
  <sheetData>
    <row r="2" spans="2:6">
      <c r="B2" t="s">
        <v>141</v>
      </c>
    </row>
    <row r="3" spans="2:6">
      <c r="B3" t="s">
        <v>139</v>
      </c>
      <c r="C3" s="24" t="s">
        <v>27</v>
      </c>
      <c r="D3" s="25" t="s">
        <v>34</v>
      </c>
      <c r="E3" s="25" t="s">
        <v>32</v>
      </c>
      <c r="F3" s="26" t="s">
        <v>33</v>
      </c>
    </row>
    <row r="4" spans="2:6">
      <c r="B4" t="s">
        <v>139</v>
      </c>
      <c r="C4" s="13" t="s">
        <v>28</v>
      </c>
      <c r="D4" s="5">
        <v>33</v>
      </c>
      <c r="E4" s="5">
        <v>178</v>
      </c>
      <c r="F4" s="12">
        <v>75</v>
      </c>
    </row>
    <row r="5" spans="2:6">
      <c r="B5" t="s">
        <v>139</v>
      </c>
      <c r="C5" s="13" t="s">
        <v>29</v>
      </c>
      <c r="D5" s="5">
        <v>38</v>
      </c>
      <c r="E5" s="5">
        <v>155</v>
      </c>
      <c r="F5" s="12">
        <v>58</v>
      </c>
    </row>
    <row r="6" spans="2:6">
      <c r="B6" t="s">
        <v>139</v>
      </c>
      <c r="C6" s="13" t="s">
        <v>30</v>
      </c>
      <c r="D6" s="5">
        <v>45</v>
      </c>
      <c r="E6" s="5">
        <v>167</v>
      </c>
      <c r="F6" s="12">
        <v>55</v>
      </c>
    </row>
    <row r="7" spans="2:6">
      <c r="B7" t="s">
        <v>139</v>
      </c>
      <c r="C7" s="8" t="s">
        <v>31</v>
      </c>
      <c r="D7" s="18">
        <v>57</v>
      </c>
      <c r="E7" s="18">
        <v>160</v>
      </c>
      <c r="F7" s="14">
        <v>48</v>
      </c>
    </row>
    <row r="9" spans="2:6">
      <c r="B9" t="s">
        <v>140</v>
      </c>
      <c r="C9" s="15" t="s">
        <v>27</v>
      </c>
      <c r="D9" s="16" t="s">
        <v>34</v>
      </c>
      <c r="E9" s="16" t="s">
        <v>32</v>
      </c>
      <c r="F9" s="17" t="s">
        <v>33</v>
      </c>
    </row>
    <row r="10" spans="2:6" hidden="1">
      <c r="B10" t="s">
        <v>140</v>
      </c>
      <c r="C10" s="13" t="s">
        <v>135</v>
      </c>
      <c r="D10" s="5">
        <v>17</v>
      </c>
      <c r="E10" s="5">
        <v>160</v>
      </c>
      <c r="F10" s="12">
        <v>50</v>
      </c>
    </row>
    <row r="11" spans="2:6">
      <c r="B11" t="s">
        <v>140</v>
      </c>
      <c r="C11" s="21" t="s">
        <v>136</v>
      </c>
      <c r="D11" s="19">
        <v>16</v>
      </c>
      <c r="E11" s="19">
        <v>165</v>
      </c>
      <c r="F11" s="22">
        <v>45</v>
      </c>
    </row>
    <row r="12" spans="2:6">
      <c r="B12" t="s">
        <v>140</v>
      </c>
      <c r="C12" s="21" t="s">
        <v>137</v>
      </c>
      <c r="D12" s="19">
        <v>17</v>
      </c>
      <c r="E12" s="19">
        <v>155</v>
      </c>
      <c r="F12" s="22">
        <v>48</v>
      </c>
    </row>
    <row r="13" spans="2:6" hidden="1">
      <c r="B13" t="s">
        <v>140</v>
      </c>
      <c r="C13" s="8" t="s">
        <v>138</v>
      </c>
      <c r="D13" s="18">
        <v>15</v>
      </c>
      <c r="E13" s="18">
        <v>180</v>
      </c>
      <c r="F13" s="14">
        <v>80</v>
      </c>
    </row>
    <row r="15" spans="2:6">
      <c r="B15" t="s">
        <v>142</v>
      </c>
      <c r="C15" s="15" t="s">
        <v>27</v>
      </c>
      <c r="D15" s="16" t="s">
        <v>34</v>
      </c>
      <c r="E15" s="16" t="s">
        <v>32</v>
      </c>
      <c r="F15" s="17" t="s">
        <v>33</v>
      </c>
    </row>
    <row r="16" spans="2:6">
      <c r="B16" t="s">
        <v>142</v>
      </c>
      <c r="C16" s="13" t="s">
        <v>143</v>
      </c>
      <c r="D16" s="5">
        <v>70</v>
      </c>
      <c r="E16" s="5">
        <v>172</v>
      </c>
      <c r="F16" s="12">
        <v>55</v>
      </c>
    </row>
    <row r="17" spans="2:6">
      <c r="B17" t="s">
        <v>142</v>
      </c>
      <c r="C17" s="13" t="s">
        <v>144</v>
      </c>
      <c r="D17" s="5">
        <v>78</v>
      </c>
      <c r="E17" s="5">
        <v>165</v>
      </c>
      <c r="F17" s="12">
        <v>47</v>
      </c>
    </row>
    <row r="18" spans="2:6">
      <c r="B18" t="s">
        <v>142</v>
      </c>
      <c r="C18" s="13" t="s">
        <v>145</v>
      </c>
      <c r="D18" s="5">
        <v>83</v>
      </c>
      <c r="E18" s="5">
        <v>170</v>
      </c>
      <c r="F18" s="12">
        <v>43</v>
      </c>
    </row>
    <row r="19" spans="2:6" hidden="1">
      <c r="B19" t="s">
        <v>142</v>
      </c>
      <c r="C19" s="8" t="s">
        <v>146</v>
      </c>
      <c r="D19" s="18">
        <v>75</v>
      </c>
      <c r="E19" s="18">
        <v>158</v>
      </c>
      <c r="F19" s="14">
        <v>60</v>
      </c>
    </row>
  </sheetData>
  <autoFilter ref="B2:F2" xr:uid="{A0866A75-0675-4EAC-9CD4-13D3138AD259}"/>
  <phoneticPr fontId="1"/>
  <pageMargins left="0.7" right="0.7" top="0.75" bottom="0.75" header="0.3" footer="0.3"/>
  <tableParts count="3">
    <tablePart r:id="rId1"/>
    <tablePart r:id="rId2"/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3D5A2-C90A-4F24-B454-8A072DB47011}">
  <sheetPr codeName="Sheet16"/>
  <dimension ref="B2:H14"/>
  <sheetViews>
    <sheetView showGridLines="0" workbookViewId="0">
      <selection activeCell="H14" sqref="H14"/>
    </sheetView>
  </sheetViews>
  <sheetFormatPr defaultRowHeight="18.75"/>
  <cols>
    <col min="3" max="3" width="20.625" customWidth="1"/>
    <col min="4" max="4" width="9.25" bestFit="1" customWidth="1"/>
  </cols>
  <sheetData>
    <row r="2" spans="2:8">
      <c r="B2" t="s">
        <v>158</v>
      </c>
    </row>
    <row r="4" spans="2:8">
      <c r="C4" s="77" t="s">
        <v>79</v>
      </c>
      <c r="D4" s="72"/>
    </row>
    <row r="5" spans="2:8">
      <c r="C5" s="10" t="s">
        <v>160</v>
      </c>
      <c r="D5" s="23">
        <v>46180</v>
      </c>
    </row>
    <row r="6" spans="2:8">
      <c r="C6" s="77" t="s">
        <v>159</v>
      </c>
      <c r="D6" s="72"/>
    </row>
    <row r="7" spans="2:8">
      <c r="C7" s="10"/>
      <c r="D7" s="10"/>
    </row>
    <row r="8" spans="2:8">
      <c r="C8" s="77" t="s">
        <v>81</v>
      </c>
      <c r="D8" s="72"/>
    </row>
    <row r="9" spans="2:8">
      <c r="C9" s="10"/>
      <c r="D9" s="10"/>
    </row>
    <row r="14" spans="2:8">
      <c r="H14" t="str">
        <f>コメントという名前を定義</f>
        <v>コメント</v>
      </c>
    </row>
  </sheetData>
  <mergeCells count="3">
    <mergeCell ref="C4:D4"/>
    <mergeCell ref="C6:D6"/>
    <mergeCell ref="C8:D8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5A52F-28BC-44D4-8287-BCFBC7120806}">
  <dimension ref="B2:AM48"/>
  <sheetViews>
    <sheetView showGridLines="0" workbookViewId="0">
      <selection activeCell="D4" sqref="D4"/>
    </sheetView>
  </sheetViews>
  <sheetFormatPr defaultColWidth="3.125" defaultRowHeight="18.75" outlineLevelRow="1" outlineLevelCol="1"/>
  <cols>
    <col min="4" max="4" width="3.125" customWidth="1"/>
    <col min="5" max="15" width="3.125" customWidth="1" outlineLevel="1"/>
    <col min="16" max="16" width="3.125" customWidth="1"/>
    <col min="17" max="27" width="3.125" customWidth="1" outlineLevel="1"/>
    <col min="29" max="39" width="3.125" customWidth="1" outlineLevel="1"/>
  </cols>
  <sheetData>
    <row r="2" spans="2:39">
      <c r="D2" s="28" t="s">
        <v>171</v>
      </c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8" t="s">
        <v>170</v>
      </c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8" t="s">
        <v>169</v>
      </c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2:39">
      <c r="D3">
        <v>1</v>
      </c>
      <c r="E3">
        <v>2</v>
      </c>
      <c r="F3">
        <v>3</v>
      </c>
      <c r="G3">
        <v>4</v>
      </c>
      <c r="H3">
        <v>5</v>
      </c>
      <c r="I3">
        <v>6</v>
      </c>
      <c r="J3">
        <v>7</v>
      </c>
      <c r="K3">
        <v>8</v>
      </c>
      <c r="L3">
        <v>9</v>
      </c>
      <c r="M3">
        <v>10</v>
      </c>
      <c r="N3">
        <v>11</v>
      </c>
      <c r="O3">
        <v>12</v>
      </c>
      <c r="P3">
        <v>1</v>
      </c>
      <c r="Q3">
        <v>2</v>
      </c>
      <c r="R3">
        <v>3</v>
      </c>
      <c r="S3">
        <v>4</v>
      </c>
      <c r="T3">
        <v>5</v>
      </c>
      <c r="U3">
        <v>6</v>
      </c>
      <c r="V3">
        <v>7</v>
      </c>
      <c r="W3">
        <v>8</v>
      </c>
      <c r="X3">
        <v>9</v>
      </c>
      <c r="Y3">
        <v>10</v>
      </c>
      <c r="Z3">
        <v>11</v>
      </c>
      <c r="AA3">
        <v>12</v>
      </c>
      <c r="AB3">
        <v>1</v>
      </c>
      <c r="AC3">
        <v>2</v>
      </c>
      <c r="AD3">
        <v>3</v>
      </c>
      <c r="AE3">
        <v>4</v>
      </c>
      <c r="AF3">
        <v>5</v>
      </c>
      <c r="AG3">
        <v>6</v>
      </c>
      <c r="AH3">
        <v>7</v>
      </c>
      <c r="AI3">
        <v>8</v>
      </c>
      <c r="AJ3">
        <v>9</v>
      </c>
      <c r="AK3">
        <v>10</v>
      </c>
      <c r="AL3">
        <v>11</v>
      </c>
      <c r="AM3">
        <v>12</v>
      </c>
    </row>
    <row r="4" spans="2:39">
      <c r="B4">
        <v>1</v>
      </c>
    </row>
    <row r="5" spans="2:39" outlineLevel="1">
      <c r="C5" t="s">
        <v>161</v>
      </c>
      <c r="D5" s="29"/>
      <c r="E5" s="29"/>
      <c r="F5" s="29"/>
      <c r="G5" s="29"/>
      <c r="H5" s="29"/>
      <c r="I5" s="29"/>
      <c r="J5" s="29"/>
      <c r="K5" s="29"/>
    </row>
    <row r="6" spans="2:39" outlineLevel="1">
      <c r="C6" t="s">
        <v>162</v>
      </c>
      <c r="L6" s="29"/>
      <c r="M6" s="29"/>
      <c r="N6" s="29"/>
      <c r="O6" s="29"/>
      <c r="P6" s="29"/>
      <c r="Q6" s="29"/>
      <c r="R6" s="29"/>
    </row>
    <row r="7" spans="2:39" outlineLevel="1">
      <c r="C7" t="s">
        <v>163</v>
      </c>
      <c r="S7" s="29"/>
      <c r="T7" s="29"/>
      <c r="U7" s="29"/>
      <c r="V7" s="29"/>
      <c r="W7" s="29"/>
      <c r="X7" s="29"/>
      <c r="Y7" s="29"/>
      <c r="Z7" s="29"/>
    </row>
    <row r="8" spans="2:39" outlineLevel="1">
      <c r="C8" t="s">
        <v>164</v>
      </c>
      <c r="AA8" s="29"/>
      <c r="AB8" s="29"/>
      <c r="AC8" s="29"/>
      <c r="AD8" s="29"/>
      <c r="AE8" s="29"/>
    </row>
    <row r="9" spans="2:39">
      <c r="B9">
        <v>2</v>
      </c>
    </row>
    <row r="10" spans="2:39" outlineLevel="1">
      <c r="C10" t="s">
        <v>161</v>
      </c>
      <c r="D10" s="29"/>
      <c r="E10" s="29"/>
      <c r="F10" s="29"/>
    </row>
    <row r="11" spans="2:39" outlineLevel="1">
      <c r="C11" t="s">
        <v>162</v>
      </c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</row>
    <row r="12" spans="2:39">
      <c r="B12">
        <v>3</v>
      </c>
    </row>
    <row r="13" spans="2:39" outlineLevel="1">
      <c r="C13" t="s">
        <v>161</v>
      </c>
      <c r="D13" s="29"/>
      <c r="L13" s="29"/>
      <c r="X13" s="29"/>
      <c r="Y13" s="29"/>
    </row>
    <row r="14" spans="2:39" outlineLevel="1">
      <c r="C14" t="s">
        <v>162</v>
      </c>
      <c r="E14" s="29"/>
      <c r="K14" s="29"/>
      <c r="M14" s="29"/>
      <c r="V14" s="29"/>
      <c r="W14" s="29"/>
    </row>
    <row r="15" spans="2:39" outlineLevel="1">
      <c r="C15" t="s">
        <v>163</v>
      </c>
      <c r="F15" s="29"/>
      <c r="J15" s="29"/>
      <c r="N15" s="29"/>
      <c r="T15" s="29"/>
      <c r="U15" s="29"/>
    </row>
    <row r="16" spans="2:39" outlineLevel="1">
      <c r="C16" t="s">
        <v>164</v>
      </c>
      <c r="G16" s="29"/>
      <c r="I16" s="29"/>
      <c r="O16" s="29"/>
      <c r="R16" s="29"/>
      <c r="S16" s="29"/>
    </row>
    <row r="17" spans="2:29" outlineLevel="1">
      <c r="C17" t="s">
        <v>165</v>
      </c>
      <c r="H17" s="29"/>
      <c r="P17" s="29"/>
      <c r="Q17" s="29"/>
    </row>
    <row r="18" spans="2:29">
      <c r="B18">
        <v>4</v>
      </c>
    </row>
    <row r="19" spans="2:29" outlineLevel="1">
      <c r="C19" t="s">
        <v>164</v>
      </c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</row>
    <row r="20" spans="2:29" outlineLevel="1">
      <c r="C20" t="s">
        <v>165</v>
      </c>
      <c r="T20" s="29"/>
      <c r="U20" s="29"/>
    </row>
    <row r="21" spans="2:29" outlineLevel="1">
      <c r="C21" t="s">
        <v>166</v>
      </c>
      <c r="W21" s="29"/>
      <c r="X21" s="29"/>
      <c r="Y21" s="29"/>
      <c r="Z21" s="29"/>
    </row>
    <row r="22" spans="2:29" outlineLevel="1">
      <c r="C22" t="s">
        <v>167</v>
      </c>
      <c r="AA22" s="29"/>
    </row>
    <row r="23" spans="2:29" outlineLevel="1">
      <c r="C23" t="s">
        <v>168</v>
      </c>
      <c r="AB23" s="29"/>
    </row>
    <row r="24" spans="2:29">
      <c r="B24">
        <v>5</v>
      </c>
    </row>
    <row r="25" spans="2:29" outlineLevel="1">
      <c r="C25" t="s">
        <v>165</v>
      </c>
      <c r="D25" s="29"/>
      <c r="E25" s="29"/>
      <c r="F25" s="29"/>
      <c r="J25" s="29"/>
      <c r="K25" s="29"/>
      <c r="L25" s="29"/>
      <c r="P25" s="29"/>
      <c r="Q25" s="29"/>
      <c r="S25" s="29"/>
      <c r="U25" s="29"/>
      <c r="W25" s="29"/>
      <c r="AA25" s="29"/>
      <c r="AB25" s="29"/>
      <c r="AC25" s="29"/>
    </row>
    <row r="26" spans="2:29" outlineLevel="1">
      <c r="C26" t="s">
        <v>167</v>
      </c>
      <c r="G26" s="29"/>
      <c r="H26" s="29"/>
      <c r="I26" s="29"/>
      <c r="M26" s="29"/>
      <c r="N26" s="29"/>
      <c r="O26" s="29"/>
    </row>
    <row r="27" spans="2:29">
      <c r="B27">
        <v>6</v>
      </c>
    </row>
    <row r="28" spans="2:29" outlineLevel="1">
      <c r="C28" t="s">
        <v>161</v>
      </c>
      <c r="G28" s="29"/>
      <c r="I28" s="29"/>
      <c r="J28" s="29"/>
    </row>
    <row r="29" spans="2:29" outlineLevel="1">
      <c r="C29" t="s">
        <v>162</v>
      </c>
      <c r="F29" s="29"/>
      <c r="H29" s="29"/>
      <c r="I29" s="29"/>
    </row>
    <row r="30" spans="2:29" outlineLevel="1">
      <c r="C30" t="s">
        <v>163</v>
      </c>
      <c r="D30" s="29"/>
      <c r="E30" s="29"/>
      <c r="F30" s="29"/>
    </row>
    <row r="31" spans="2:29" outlineLevel="1">
      <c r="C31" t="s">
        <v>164</v>
      </c>
      <c r="K31" s="29"/>
      <c r="L31" s="29"/>
      <c r="M31" s="29"/>
    </row>
    <row r="32" spans="2:29" outlineLevel="1">
      <c r="C32" t="s">
        <v>165</v>
      </c>
      <c r="M32" s="29"/>
      <c r="N32" s="29"/>
    </row>
    <row r="33" spans="2:38" outlineLevel="1">
      <c r="C33" t="s">
        <v>166</v>
      </c>
      <c r="O33" s="29"/>
      <c r="P33" s="29"/>
      <c r="Q33" s="29"/>
      <c r="X33" s="29"/>
      <c r="Y33" s="29"/>
    </row>
    <row r="34" spans="2:38" outlineLevel="1">
      <c r="C34" t="s">
        <v>167</v>
      </c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</row>
    <row r="35" spans="2:38" outlineLevel="1">
      <c r="C35" t="s">
        <v>168</v>
      </c>
      <c r="P35" s="29"/>
      <c r="Y35" s="29"/>
      <c r="Z35" s="29"/>
      <c r="AA35" s="29"/>
    </row>
    <row r="36" spans="2:38">
      <c r="B36">
        <v>7</v>
      </c>
    </row>
    <row r="37" spans="2:38" outlineLevel="1">
      <c r="C37" t="s">
        <v>163</v>
      </c>
      <c r="H37" s="29"/>
    </row>
    <row r="38" spans="2:38" outlineLevel="1">
      <c r="C38" t="s">
        <v>165</v>
      </c>
      <c r="J38" s="29"/>
      <c r="AJ38" s="29"/>
      <c r="AK38" s="29"/>
      <c r="AL38" s="29"/>
    </row>
    <row r="39" spans="2:38" outlineLevel="1">
      <c r="C39" t="s">
        <v>166</v>
      </c>
      <c r="L39" s="29"/>
      <c r="M39" s="29"/>
      <c r="S39" s="29"/>
      <c r="T39" s="29"/>
      <c r="U39" s="29"/>
      <c r="X39" s="29"/>
      <c r="Z39" s="29"/>
      <c r="AC39" s="29"/>
      <c r="AD39" s="29"/>
      <c r="AE39" s="29"/>
      <c r="AF39" s="29"/>
      <c r="AG39" s="29"/>
      <c r="AH39" s="29"/>
    </row>
    <row r="40" spans="2:38" outlineLevel="1">
      <c r="C40" t="s">
        <v>168</v>
      </c>
      <c r="O40" s="29"/>
      <c r="P40" s="29"/>
      <c r="Q40" s="29"/>
      <c r="R40" s="29"/>
      <c r="S40" s="29"/>
      <c r="T40" s="29"/>
    </row>
    <row r="41" spans="2:38">
      <c r="B41">
        <v>8</v>
      </c>
    </row>
    <row r="42" spans="2:38" outlineLevel="1">
      <c r="C42" t="s">
        <v>162</v>
      </c>
      <c r="E42" s="29"/>
      <c r="F42" s="29"/>
      <c r="Y42" s="29"/>
      <c r="Z42" s="29"/>
      <c r="AA42" s="29"/>
      <c r="AB42" s="29"/>
      <c r="AC42" s="29"/>
      <c r="AD42" s="29"/>
      <c r="AE42" s="29"/>
      <c r="AF42" s="29"/>
      <c r="AG42" s="29"/>
    </row>
    <row r="43" spans="2:38" outlineLevel="1">
      <c r="C43" t="s">
        <v>164</v>
      </c>
      <c r="I43" s="29"/>
      <c r="J43" s="29"/>
      <c r="K43" s="29"/>
      <c r="L43" s="29"/>
    </row>
    <row r="44" spans="2:38" outlineLevel="1">
      <c r="C44" t="s">
        <v>165</v>
      </c>
      <c r="Q44" s="29"/>
      <c r="S44" s="29"/>
      <c r="U44" s="29"/>
      <c r="W44" s="29"/>
    </row>
    <row r="45" spans="2:38">
      <c r="B45">
        <v>9</v>
      </c>
    </row>
    <row r="46" spans="2:38" outlineLevel="1">
      <c r="C46" t="s">
        <v>161</v>
      </c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</row>
    <row r="47" spans="2:38" outlineLevel="1">
      <c r="C47" t="s">
        <v>164</v>
      </c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</row>
    <row r="48" spans="2:38" outlineLevel="1">
      <c r="C48" t="s">
        <v>168</v>
      </c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16207-9202-4D2C-8CD7-567D52F54562}">
  <dimension ref="A1"/>
  <sheetViews>
    <sheetView topLeftCell="A19" workbookViewId="0">
      <selection activeCell="K34" sqref="K34"/>
    </sheetView>
  </sheetViews>
  <sheetFormatPr defaultRowHeight="18.75"/>
  <sheetData/>
  <phoneticPr fontId="1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8B452-348F-4969-A297-6C204B3F0E7B}">
  <dimension ref="A1"/>
  <sheetViews>
    <sheetView showGridLines="0" workbookViewId="0"/>
  </sheetViews>
  <sheetFormatPr defaultRowHeight="18.75"/>
  <cols>
    <col min="1" max="16384" width="9" style="56"/>
  </cols>
  <sheetData/>
  <phoneticPr fontId="1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2A37E-F100-4557-BF76-250823202AC8}">
  <sheetPr codeName="Sheet17"/>
  <dimension ref="B2"/>
  <sheetViews>
    <sheetView workbookViewId="0">
      <selection activeCell="B3" sqref="B3"/>
    </sheetView>
  </sheetViews>
  <sheetFormatPr defaultRowHeight="18.75"/>
  <sheetData>
    <row r="2" spans="2:2">
      <c r="B2" t="s">
        <v>104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20</vt:i4>
      </vt:variant>
      <vt:variant>
        <vt:lpstr>グラフ</vt:lpstr>
      </vt:variant>
      <vt:variant>
        <vt:i4>1</vt:i4>
      </vt:variant>
      <vt:variant>
        <vt:lpstr>名前付き一覧</vt:lpstr>
      </vt:variant>
      <vt:variant>
        <vt:i4>6</vt:i4>
      </vt:variant>
    </vt:vector>
  </HeadingPairs>
  <TitlesOfParts>
    <vt:vector size="27" baseType="lpstr">
      <vt:lpstr>NoneSheet</vt:lpstr>
      <vt:lpstr>目次</vt:lpstr>
      <vt:lpstr>TopLeft</vt:lpstr>
      <vt:lpstr>テキストシート</vt:lpstr>
      <vt:lpstr>Shapes</vt:lpstr>
      <vt:lpstr>Sequence</vt:lpstr>
      <vt:lpstr>表と式</vt:lpstr>
      <vt:lpstr>シート名にコメントを</vt:lpstr>
      <vt:lpstr>罫線</vt:lpstr>
      <vt:lpstr>表とグラフ</vt:lpstr>
      <vt:lpstr>一覧表</vt:lpstr>
      <vt:lpstr>リンク</vt:lpstr>
      <vt:lpstr>名前</vt:lpstr>
      <vt:lpstr>オートフィルタ</vt:lpstr>
      <vt:lpstr>テーブル</vt:lpstr>
      <vt:lpstr>マクロ</vt:lpstr>
      <vt:lpstr>グループ化</vt:lpstr>
      <vt:lpstr>画像</vt:lpstr>
      <vt:lpstr>Samples</vt:lpstr>
      <vt:lpstr>非表示シート</vt:lpstr>
      <vt:lpstr>グラフのみのシート</vt:lpstr>
      <vt:lpstr>名前!_C3</vt:lpstr>
      <vt:lpstr>Sequence!Print_Area</vt:lpstr>
      <vt:lpstr>テキストシート!Print_Area</vt:lpstr>
      <vt:lpstr>名前!Print_Area</vt:lpstr>
      <vt:lpstr>名前シートのA1です</vt:lpstr>
      <vt:lpstr>名前シートのB2です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tkubota</dc:creator>
  <cp:lastModifiedBy>達也 久保田</cp:lastModifiedBy>
  <cp:lastPrinted>2026-06-08T16:29:32Z</cp:lastPrinted>
  <dcterms:created xsi:type="dcterms:W3CDTF">2015-06-05T18:19:34Z</dcterms:created>
  <dcterms:modified xsi:type="dcterms:W3CDTF">2026-06-28T09:16:55Z</dcterms:modified>
</cp:coreProperties>
</file>