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23539396-C1F8-48FE-8B90-FE38D52D0E19}" xr6:coauthVersionLast="47" xr6:coauthVersionMax="47" xr10:uidLastSave="{00000000-0000-0000-0000-000000000000}"/>
  <bookViews>
    <workbookView xWindow="-120" yWindow="-120" windowWidth="29040" windowHeight="15720" firstSheet="4" activeTab="8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罫線" sheetId="19" r:id="rId9"/>
    <sheet name="グラフのみのシート" sheetId="10" r:id="rId10"/>
    <sheet name="表とグラフ" sheetId="7" r:id="rId11"/>
    <sheet name="一覧表" sheetId="9" r:id="rId12"/>
    <sheet name="リンク" sheetId="12" r:id="rId13"/>
    <sheet name="名前" sheetId="13" r:id="rId14"/>
    <sheet name="オートフィルタ" sheetId="15" r:id="rId15"/>
    <sheet name="テーブル" sheetId="16" r:id="rId16"/>
    <sheet name="マクロ" sheetId="17" r:id="rId17"/>
    <sheet name="グループ化" sheetId="18" r:id="rId18"/>
    <sheet name="非表示シート" sheetId="14" state="hidden" r:id="rId19"/>
  </sheets>
  <externalReferences>
    <externalReference r:id="rId20"/>
  </externalReferences>
  <definedNames>
    <definedName name="_C3" comment="コメント" localSheetId="13">名前!$C$3</definedName>
    <definedName name="_xlnm._FilterDatabase" localSheetId="14" hidden="1">オートフィルタ!$B$2:$G$22</definedName>
    <definedName name="_xlnm._FilterDatabase" localSheetId="15" hidden="1">テーブル!$B$2:$F$2</definedName>
    <definedName name="_xlnm.Print_Area" localSheetId="5">Sequence!$A$1:$BD$34</definedName>
    <definedName name="_xlnm.Print_Area" localSheetId="3">テキストシート!$A$1:$L$11</definedName>
    <definedName name="_xlnm.Print_Area" localSheetId="13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<sst xmlns="http://schemas.openxmlformats.org/spreadsheetml/2006/main" count="312" uniqueCount="194">
  <si>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</si>
  <si>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</si>
  <si>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</si>
  <si>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</si>
  <si>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</si>
  <si>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</si>
  <si>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</si>
  <si>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</si>
  <si>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</si>
  <si>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</si>
  <si>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</si>
  <si>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</si>
  <si>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</si>
  <si>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</si>
  <si>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</si>
  <si>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</si>
  <si>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</si>
  <si>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</si>
  <si>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</si>
  <si>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</si>
  <si>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</si>
  <si>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</si>
  <si>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</si>
  <si>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</si>
  <si>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</si>
  <si>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</si>
  <si>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</si>
  <si>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</si>
  <si>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</si>
  <si>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</si>
  <si>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</si>
  <si>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</si>
  <si>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</si>
  <si>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</si>
  <si>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</si>
  <si>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</si>
  <si>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</si>
  <si>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</si>
  <si>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</si>
  <si>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</si>
  <si>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</si>
  <si>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</si>
  <si>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</si>
  <si>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</si>
  <si>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</si>
  <si>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</si>
  <si>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</si>
  <si>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</si>
  <si>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</si>
  <si>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</si>
  <si>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</si>
  <si>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</si>
  <si>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</si>
  <si>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</si>
  <si>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</si>
  <si>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</si>
  <si>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</si>
  <si>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</si>
  <si>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</si>
  <si>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</si>
  <si>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</si>
  <si>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</si>
  <si>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</si>
  <si>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</si>
  <si>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</si>
  <si>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</si>
  <si>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</si>
  <si>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</si>
  <si>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</si>
  <si>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</si>
  <si>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</si>
  <si>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</si>
  <si>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</si>
  <si>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</si>
  <si>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</si>
  <si>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</si>
  <si>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</si>
  <si>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</si>
  <si>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</si>
  <si>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</si>
  <si>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</si>
  <si>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</si>
  <si>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</si>
  <si>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</si>
  <si>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</si>
  <si>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</si>
  <si>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</si>
  <si>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</si>
  <si>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</si>
  <si>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</si>
  <si>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</si>
  <si>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</si>
  <si>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</si>
  <si>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</si>
  <si>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</si>
  <si>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</si>
  <si>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</si>
  <si>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</si>
  <si>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</si>
  <si>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</si>
  <si>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</si>
  <si>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</si>
  <si>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</si>
  <si>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</si>
  <si>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</si>
  <si>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</si>
  <si>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</si>
  <si>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</si>
  <si>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</si>
  <si>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</si>
  <si>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</si>
  <si>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</si>
  <si>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</si>
  <si>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</si>
  <si>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</si>
  <si>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</si>
  <si>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</si>
  <si>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</si>
  <si>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</si>
  <si>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</si>
  <si>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</si>
  <si>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</si>
  <si>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</si>
  <si>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</si>
  <si>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</si>
  <si>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</si>
  <si>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</si>
  <si>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</si>
  <si>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</si>
  <si>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</si>
  <si>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</si>
  <si>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</si>
  <si>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</si>
  <si>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</si>
  <si>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</si>
  <si>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</si>
  <si>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</si>
  <si>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</si>
  <si>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</si>
  <si>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</si>
  <si>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</si>
  <si>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</si>
  <si>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</si>
  <si>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</si>
  <si>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</si>
  <si>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</si>
  <si>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</si>
  <si>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</si>
  <si>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</si>
  <si>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</si>
  <si>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</si>
  <si>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</si>
  <si>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</si>
  <si>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</si>
  <si>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</si>
  <si>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</si>
  <si>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</si>
  <si>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</si>
  <si>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</si>
  <si>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</si>
  <si>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</si>
  <si>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</si>
  <si>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</si>
  <si>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</si>
  <si>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</si>
  <si>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</si>
  <si>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</si>
  <si>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</si>
  <si>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</si>
  <si>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2027</t>
    <phoneticPr fontId="1"/>
  </si>
  <si>
    <t>2026</t>
    <phoneticPr fontId="1"/>
  </si>
  <si>
    <t>2025</t>
    <phoneticPr fontId="1"/>
  </si>
  <si>
    <t>外枠</t>
    <rPh sb="0" eb="2">
      <t>ソトワク</t>
    </rPh>
    <phoneticPr fontId="1"/>
  </si>
  <si>
    <t>太い外枠</t>
    <rPh sb="0" eb="1">
      <t>フト</t>
    </rPh>
    <rPh sb="2" eb="4">
      <t>ソトワク</t>
    </rPh>
    <phoneticPr fontId="1"/>
  </si>
  <si>
    <t>下二重線</t>
    <rPh sb="0" eb="1">
      <t>シタ</t>
    </rPh>
    <rPh sb="1" eb="4">
      <t>ニジュウセン</t>
    </rPh>
    <phoneticPr fontId="1"/>
  </si>
  <si>
    <t>赤い罫線</t>
    <rPh sb="0" eb="1">
      <t>アカ</t>
    </rPh>
    <rPh sb="2" eb="4">
      <t>ケイセン</t>
    </rPh>
    <phoneticPr fontId="1"/>
  </si>
  <si>
    <t>点線1</t>
    <rPh sb="0" eb="2">
      <t>テンセン</t>
    </rPh>
    <phoneticPr fontId="1"/>
  </si>
  <si>
    <t>点線2</t>
    <phoneticPr fontId="1"/>
  </si>
  <si>
    <t>破線1</t>
    <rPh sb="0" eb="2">
      <t>ハセン</t>
    </rPh>
    <phoneticPr fontId="1"/>
  </si>
  <si>
    <t>破線2</t>
    <rPh sb="0" eb="2">
      <t>ハセン</t>
    </rPh>
    <phoneticPr fontId="1"/>
  </si>
  <si>
    <t>破線3</t>
    <phoneticPr fontId="1"/>
  </si>
  <si>
    <t>太い破線1</t>
    <rPh sb="0" eb="1">
      <t>フト</t>
    </rPh>
    <rPh sb="2" eb="4">
      <t>ハセン</t>
    </rPh>
    <phoneticPr fontId="1"/>
  </si>
  <si>
    <t>太い破線2</t>
    <phoneticPr fontId="1"/>
  </si>
  <si>
    <t>太い破線3</t>
    <phoneticPr fontId="1"/>
  </si>
  <si>
    <t>太い破線4</t>
    <phoneticPr fontId="1"/>
  </si>
  <si>
    <t>もっと太い外枠</t>
    <rPh sb="3" eb="4">
      <t>フト</t>
    </rPh>
    <rPh sb="5" eb="7">
      <t>ソトワク</t>
    </rPh>
    <phoneticPr fontId="1"/>
  </si>
  <si>
    <t>左上-右下</t>
    <rPh sb="0" eb="1">
      <t>ヒダリ</t>
    </rPh>
    <rPh sb="1" eb="2">
      <t>ウエ</t>
    </rPh>
    <rPh sb="3" eb="5">
      <t>ミギシタ</t>
    </rPh>
    <phoneticPr fontId="1"/>
  </si>
  <si>
    <t>左下-右上</t>
    <rPh sb="0" eb="2">
      <t>ヒダリシタ</t>
    </rPh>
    <rPh sb="3" eb="5">
      <t>ミギウエ</t>
    </rPh>
    <phoneticPr fontId="1"/>
  </si>
  <si>
    <t>二重対角線</t>
    <rPh sb="0" eb="5">
      <t>ニジュウタイカクセン</t>
    </rPh>
    <phoneticPr fontId="1"/>
  </si>
  <si>
    <t>格子</t>
    <rPh sb="0" eb="2">
      <t>コウシ</t>
    </rPh>
    <phoneticPr fontId="1"/>
  </si>
  <si>
    <t>2x2の外枠</t>
    <rPh sb="4" eb="6">
      <t>ソトワク</t>
    </rPh>
    <phoneticPr fontId="1"/>
  </si>
  <si>
    <t>結合セルの外枠</t>
    <rPh sb="0" eb="2">
      <t>ケツゴウ</t>
    </rPh>
    <rPh sb="5" eb="7">
      <t>ソトワク</t>
    </rPh>
    <phoneticPr fontId="1"/>
  </si>
  <si>
    <t>全部盛り</t>
    <rPh sb="0" eb="2">
      <t>ゼンブ</t>
    </rPh>
    <rPh sb="2" eb="3">
      <t>ザカ</t>
    </rPh>
    <phoneticPr fontId="1"/>
  </si>
  <si>
    <t>結合セルの全部盛り</t>
    <rPh sb="0" eb="2">
      <t>ケツゴウ</t>
    </rPh>
    <rPh sb="5" eb="8">
      <t>ゼンブモ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</si>
</sst>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歳&quot;"/>
    <numFmt numFmtId="177" formatCode="0&quot;㎝&quot;"/>
    <numFmt numFmtId="178" formatCode="0&quot;㎏&quot;"/>
    <numFmt numFmtId="179" formatCode="0&quot;コ&quot;&quot;メ&quot;&quot;ン&quot;&quot;ト&quot;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dotted">
        <color rgb="FFFF0000"/>
      </bottom>
      <diagonal/>
    </border>
    <border>
      <left/>
      <right/>
      <top/>
      <bottom style="dashDotDot">
        <color auto="1"/>
      </bottom>
      <diagonal/>
    </border>
    <border>
      <left/>
      <right/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/>
      <top/>
      <bottom style="mediumDashed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 diagonalDown="1">
      <left/>
      <right/>
      <top/>
      <bottom/>
      <diagonal style="thin">
        <color auto="1"/>
      </diagonal>
    </border>
    <border diagonalUp="1">
      <left/>
      <right/>
      <top/>
      <bottom/>
      <diagonal style="thin">
        <color auto="1"/>
      </diagonal>
    </border>
    <border diagonalUp="1" diagonalDown="1">
      <left/>
      <right/>
      <top/>
      <bottom/>
      <diagonal style="double">
        <color auto="1"/>
      </diagonal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 diagonalDown="1">
      <left style="thin">
        <color auto="1"/>
      </left>
      <right/>
      <top style="thin">
        <color auto="1"/>
      </top>
      <bottom/>
      <diagonal style="thin">
        <color auto="1"/>
      </diagonal>
    </border>
    <border diagonalUp="1" diagonalDown="1">
      <left/>
      <right style="thin">
        <color auto="1"/>
      </right>
      <top style="thin">
        <color auto="1"/>
      </top>
      <bottom/>
      <diagonal style="thin">
        <color auto="1"/>
      </diagonal>
    </border>
    <border diagonalUp="1" diagonalDown="1">
      <left style="thin">
        <color auto="1"/>
      </left>
      <right/>
      <top/>
      <bottom style="thin">
        <color auto="1"/>
      </bottom>
      <diagonal style="thin">
        <color auto="1"/>
      </diagonal>
    </border>
    <border diagonalUp="1" diagonalDown="1">
      <left/>
      <right style="thin">
        <color auto="1"/>
      </right>
      <top/>
      <bottom style="thin">
        <color auto="1"/>
      </bottom>
      <diagonal style="thin">
        <color auto="1"/>
      </diagonal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0" fillId="3" borderId="0" xfId="0" applyFill="1"/>
    <xf numFmtId="0" fontId="0" fillId="4" borderId="0" xfId="0" applyFill="1"/>
    <xf numFmtId="176" fontId="0" fillId="2" borderId="1" xfId="0" applyNumberFormat="1" applyFill="1" applyBorder="1"/>
    <xf numFmtId="177" fontId="0" fillId="2" borderId="1" xfId="0" applyNumberFormat="1" applyFill="1" applyBorder="1"/>
    <xf numFmtId="178" fontId="0" fillId="2" borderId="1" xfId="0" applyNumberFormat="1" applyFill="1" applyBorder="1"/>
    <xf numFmtId="0" fontId="0" fillId="0" borderId="8" xfId="0" applyBorder="1"/>
    <xf numFmtId="0" fontId="0" fillId="0" borderId="10" xfId="0" applyBorder="1"/>
    <xf numFmtId="179" fontId="0" fillId="0" borderId="0" xfId="0" applyNumberFormat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5" xfId="0" applyBorder="1"/>
    <xf numFmtId="0" fontId="0" fillId="0" borderId="7" xfId="0" applyBorder="1"/>
    <xf numFmtId="0" fontId="0" fillId="0" borderId="5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10" xfId="0" applyBorder="1" applyAlignment="1"/>
    <xf numFmtId="0" fontId="0" fillId="0" borderId="30" xfId="0" applyBorder="1"/>
    <xf numFmtId="0" fontId="0" fillId="0" borderId="31" xfId="0" applyBorder="1" applyAlignment="1"/>
    <xf numFmtId="0" fontId="0" fillId="0" borderId="32" xfId="0" applyBorder="1" applyAlignment="1"/>
    <xf numFmtId="0" fontId="0" fillId="0" borderId="33" xfId="0" applyBorder="1" applyAlignment="1"/>
    <xf numFmtId="0" fontId="0" fillId="0" borderId="34" xfId="0" applyBorder="1" applyAlignment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worksheet" Target="worksheets/sheet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0"歳"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0"㎝"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0"㎏"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&quot;歳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37" t="s">
        <v>85</v>
      </c>
      <c r="D17" s="38"/>
      <c r="E17" s="38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showGridLines="0" topLeftCell="A2" zoomScale="145" zoomScaleNormal="145" workbookViewId="0">
      <selection activeCell="A2" sqref="A2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view="pageBreakPreview" zoomScale="60" zoomScaleNormal="100"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pageSetup paperSize="9" orientation="portrait" r:id="rId1"/>
  <headerFooter>
    <oddHeader>&amp;Cヘッダーにコメントを書いてみた</oddHeader>
    <oddFooter>&amp;Cフッターにもコメントを書いてみた</oddFooter>
  </headerFooter>
  <colBreaks count="1" manualBreakCount="1">
    <brk id="6" max="10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>
      <selection activeCell="G24" sqref="G2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view="pageBreakPreview" zoomScale="60" zoomScaleNormal="100" workbookViewId="0">
      <selection activeCell="G3" sqref="G3:L3"/>
    </sheetView>
  </sheetViews>
  <sheetFormatPr defaultColWidth="3.125" defaultRowHeight="18.75"/>
  <cols>
    <col min="1" max="16384" width="3.125" style="4"/>
  </cols>
  <sheetData>
    <row r="3" spans="7:52">
      <c r="G3" s="39" t="s">
        <v>86</v>
      </c>
      <c r="H3" s="39"/>
      <c r="I3" s="39"/>
      <c r="J3" s="39"/>
      <c r="K3" s="39"/>
      <c r="L3" s="39"/>
      <c r="Q3" s="39" t="s">
        <v>87</v>
      </c>
      <c r="R3" s="39"/>
      <c r="S3" s="39"/>
      <c r="T3" s="39"/>
      <c r="U3" s="39"/>
      <c r="V3" s="39"/>
      <c r="AA3" s="39" t="s">
        <v>88</v>
      </c>
      <c r="AB3" s="39"/>
      <c r="AC3" s="39"/>
      <c r="AD3" s="39"/>
      <c r="AE3" s="39"/>
      <c r="AF3" s="39"/>
      <c r="AK3" s="39" t="s">
        <v>89</v>
      </c>
      <c r="AL3" s="39"/>
      <c r="AM3" s="39"/>
      <c r="AN3" s="39"/>
      <c r="AO3" s="39"/>
      <c r="AP3" s="39"/>
      <c r="AU3" s="39" t="s">
        <v>90</v>
      </c>
      <c r="AV3" s="39"/>
      <c r="AW3" s="39"/>
      <c r="AX3" s="39"/>
      <c r="AY3" s="39"/>
      <c r="AZ3" s="39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orientation="portrait" r:id="rId1"/>
  <rowBreaks count="1" manualBreakCount="1">
    <brk id="17" max="5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/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:E10"/>
  <sheetViews>
    <sheetView workbookViewId="0">
      <selection activeCell="E6" sqref="E6"/>
    </sheetView>
  </sheetViews>
  <sheetFormatPr defaultRowHeight="18.75"/>
  <cols>
    <col min="5" max="5" width="10" bestFit="1" customWidth="1"/>
  </cols>
  <sheetData>
    <row r="2" spans="2:5">
      <c r="B2" t="s">
        <v>26</v>
      </c>
    </row>
    <row r="6" spans="2:5">
      <c r="E6" s="36">
        <v>1</v>
      </c>
    </row>
    <row r="7" spans="2:5">
      <c r="E7" s="36">
        <v>2</v>
      </c>
    </row>
    <row r="8" spans="2:5">
      <c r="E8" s="36">
        <v>3</v>
      </c>
    </row>
    <row r="9" spans="2:5">
      <c r="E9" s="36">
        <v>4</v>
      </c>
    </row>
    <row r="10" spans="2:5">
      <c r="E10" s="36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6A19C-C16C-4EE1-B73D-766618CD9B21}">
  <dimension ref="B2:K15"/>
  <sheetViews>
    <sheetView showGridLines="0" tabSelected="1" topLeftCell="A6" zoomScale="235" zoomScaleNormal="235" workbookViewId="0">
      <selection activeCell="K15" sqref="K15"/>
    </sheetView>
  </sheetViews>
  <sheetFormatPr defaultRowHeight="18.75"/>
  <cols>
    <col min="6" max="6" width="15.125" bestFit="1" customWidth="1"/>
    <col min="8" max="24" width="3.125" customWidth="1"/>
  </cols>
  <sheetData>
    <row r="2" spans="2:11" ht="19.5" thickBot="1">
      <c r="B2" s="10" t="s">
        <v>172</v>
      </c>
      <c r="D2" s="58" t="s">
        <v>178</v>
      </c>
      <c r="F2" s="64" t="s">
        <v>184</v>
      </c>
      <c r="I2" s="10"/>
      <c r="J2" s="10"/>
      <c r="K2" t="s">
        <v>189</v>
      </c>
    </row>
    <row r="3" spans="2:11" ht="19.5" thickBot="1">
      <c r="I3" s="10"/>
      <c r="J3" s="10"/>
    </row>
    <row r="4" spans="2:11" ht="20.25" thickTop="1" thickBot="1">
      <c r="B4" s="52" t="s">
        <v>173</v>
      </c>
      <c r="D4" s="59" t="s">
        <v>179</v>
      </c>
      <c r="F4" s="65" t="s">
        <v>185</v>
      </c>
    </row>
    <row r="5" spans="2:11">
      <c r="I5" s="69"/>
      <c r="J5" s="70"/>
      <c r="K5" t="s">
        <v>190</v>
      </c>
    </row>
    <row r="6" spans="2:11" ht="19.5" thickBot="1">
      <c r="B6" s="53" t="s">
        <v>174</v>
      </c>
      <c r="D6" s="60" t="s">
        <v>180</v>
      </c>
      <c r="F6" s="66" t="s">
        <v>186</v>
      </c>
      <c r="I6" s="34"/>
      <c r="J6" s="35"/>
    </row>
    <row r="7" spans="2:11" ht="19.5" thickTop="1"/>
    <row r="8" spans="2:11" ht="19.5" thickBot="1">
      <c r="B8" s="54" t="s">
        <v>175</v>
      </c>
      <c r="D8" s="61" t="s">
        <v>181</v>
      </c>
      <c r="F8" s="67" t="s">
        <v>187</v>
      </c>
      <c r="I8" s="71"/>
      <c r="J8" s="72"/>
      <c r="K8" t="s">
        <v>191</v>
      </c>
    </row>
    <row r="9" spans="2:11">
      <c r="I9" s="73"/>
      <c r="J9" s="74"/>
    </row>
    <row r="10" spans="2:11" ht="19.5" thickBot="1">
      <c r="B10" s="55" t="s">
        <v>176</v>
      </c>
      <c r="D10" s="62" t="s">
        <v>182</v>
      </c>
      <c r="F10" s="68" t="s">
        <v>188</v>
      </c>
    </row>
    <row r="11" spans="2:11">
      <c r="I11" s="75"/>
      <c r="J11" s="75"/>
      <c r="K11" t="s">
        <v>192</v>
      </c>
    </row>
    <row r="12" spans="2:11" ht="19.5" thickBot="1">
      <c r="B12" s="57" t="s">
        <v>177</v>
      </c>
      <c r="D12" s="63" t="s">
        <v>183</v>
      </c>
      <c r="F12" s="56"/>
      <c r="I12" s="75"/>
      <c r="J12" s="75"/>
    </row>
    <row r="14" spans="2:11">
      <c r="I14" s="76"/>
      <c r="J14" s="77"/>
      <c r="K14" t="s">
        <v>193</v>
      </c>
    </row>
    <row r="15" spans="2:11">
      <c r="I15" s="78"/>
      <c r="J15" s="79"/>
    </row>
  </sheetData>
  <mergeCells count="2">
    <mergeCell ref="I8:J9"/>
    <mergeCell ref="I14:J15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>
      <selection activeCell="F5" sqref="F5"/>
    </sheetView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31">
        <v>33</v>
      </c>
      <c r="E4" s="32">
        <v>178</v>
      </c>
      <c r="F4" s="33">
        <v>75</v>
      </c>
    </row>
    <row r="5" spans="3:6">
      <c r="C5" s="5" t="s">
        <v>29</v>
      </c>
      <c r="D5" s="31">
        <v>24</v>
      </c>
      <c r="E5" s="32">
        <v>155</v>
      </c>
      <c r="F5" s="33">
        <v>58</v>
      </c>
    </row>
    <row r="6" spans="3:6">
      <c r="C6" s="5" t="s">
        <v>30</v>
      </c>
      <c r="D6" s="31">
        <v>45</v>
      </c>
      <c r="E6" s="32">
        <v>167</v>
      </c>
      <c r="F6" s="33">
        <v>55</v>
      </c>
    </row>
    <row r="7" spans="3:6">
      <c r="C7" s="5" t="s">
        <v>31</v>
      </c>
      <c r="D7" s="31">
        <v>57</v>
      </c>
      <c r="E7" s="32">
        <v>160</v>
      </c>
      <c r="F7" s="33">
        <v>48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/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37" t="s">
        <v>27</v>
      </c>
      <c r="E4" s="38"/>
      <c r="F4" s="38"/>
      <c r="G4" s="38"/>
      <c r="H4" s="40" t="s">
        <v>47</v>
      </c>
      <c r="I4" s="43"/>
      <c r="J4" s="43"/>
      <c r="K4" s="43"/>
      <c r="L4" s="43"/>
      <c r="M4" s="43"/>
      <c r="N4" s="43"/>
      <c r="O4" s="44"/>
      <c r="P4" s="40" t="s">
        <v>48</v>
      </c>
      <c r="Q4" s="41"/>
      <c r="R4" s="41"/>
      <c r="S4" s="42"/>
      <c r="T4" s="40" t="s">
        <v>49</v>
      </c>
      <c r="U4" s="41"/>
      <c r="V4" s="41"/>
      <c r="W4" s="42"/>
      <c r="AA4" s="4" t="s">
        <v>54</v>
      </c>
    </row>
    <row r="5" spans="3:27">
      <c r="C5" s="5">
        <f>ROW()-4</f>
        <v>1</v>
      </c>
      <c r="D5" s="37" t="s">
        <v>50</v>
      </c>
      <c r="E5" s="38"/>
      <c r="F5" s="38"/>
      <c r="G5" s="38"/>
      <c r="H5" s="40" t="s">
        <v>67</v>
      </c>
      <c r="I5" s="43"/>
      <c r="J5" s="43"/>
      <c r="K5" s="43"/>
      <c r="L5" s="43"/>
      <c r="M5" s="43"/>
      <c r="N5" s="43"/>
      <c r="O5" s="44"/>
      <c r="P5" s="40" t="s">
        <v>55</v>
      </c>
      <c r="Q5" s="41"/>
      <c r="R5" s="41"/>
      <c r="S5" s="42"/>
      <c r="T5" s="40" t="s">
        <v>64</v>
      </c>
      <c r="U5" s="41"/>
      <c r="V5" s="41"/>
      <c r="W5" s="42"/>
      <c r="AA5" s="4" t="s">
        <v>56</v>
      </c>
    </row>
    <row r="6" spans="3:27">
      <c r="C6" s="5">
        <f t="shared" ref="C6:C15" si="0">ROW()-4</f>
        <v>2</v>
      </c>
      <c r="D6" s="37" t="s">
        <v>51</v>
      </c>
      <c r="E6" s="38"/>
      <c r="F6" s="38"/>
      <c r="G6" s="38"/>
      <c r="H6" s="40" t="s">
        <v>66</v>
      </c>
      <c r="I6" s="43"/>
      <c r="J6" s="43"/>
      <c r="K6" s="43"/>
      <c r="L6" s="43"/>
      <c r="M6" s="43"/>
      <c r="N6" s="43"/>
      <c r="O6" s="44"/>
      <c r="P6" s="40" t="s">
        <v>53</v>
      </c>
      <c r="Q6" s="41"/>
      <c r="R6" s="41"/>
      <c r="S6" s="42"/>
      <c r="T6" s="40" t="s">
        <v>63</v>
      </c>
      <c r="U6" s="41"/>
      <c r="V6" s="41"/>
      <c r="W6" s="42"/>
      <c r="AA6" s="4" t="s">
        <v>58</v>
      </c>
    </row>
    <row r="7" spans="3:27">
      <c r="C7" s="5">
        <f t="shared" si="0"/>
        <v>3</v>
      </c>
      <c r="D7" s="37" t="s">
        <v>51</v>
      </c>
      <c r="E7" s="38"/>
      <c r="F7" s="38"/>
      <c r="G7" s="38"/>
      <c r="H7" s="40" t="s">
        <v>68</v>
      </c>
      <c r="I7" s="43"/>
      <c r="J7" s="43"/>
      <c r="K7" s="43"/>
      <c r="L7" s="43"/>
      <c r="M7" s="43"/>
      <c r="N7" s="43"/>
      <c r="O7" s="44"/>
      <c r="P7" s="40" t="s">
        <v>57</v>
      </c>
      <c r="Q7" s="41"/>
      <c r="R7" s="41"/>
      <c r="S7" s="42"/>
      <c r="T7" s="45" t="s">
        <v>78</v>
      </c>
      <c r="U7" s="46"/>
      <c r="V7" s="46"/>
      <c r="W7" s="47"/>
    </row>
    <row r="8" spans="3:27">
      <c r="C8" s="5">
        <f t="shared" si="0"/>
        <v>4</v>
      </c>
      <c r="D8" s="37" t="s">
        <v>52</v>
      </c>
      <c r="E8" s="38"/>
      <c r="F8" s="38"/>
      <c r="G8" s="38"/>
      <c r="H8" s="40" t="s">
        <v>69</v>
      </c>
      <c r="I8" s="43"/>
      <c r="J8" s="43"/>
      <c r="K8" s="43"/>
      <c r="L8" s="43"/>
      <c r="M8" s="43"/>
      <c r="N8" s="43"/>
      <c r="O8" s="44"/>
      <c r="P8" s="40" t="s">
        <v>57</v>
      </c>
      <c r="Q8" s="41"/>
      <c r="R8" s="41"/>
      <c r="S8" s="42"/>
      <c r="T8" s="48"/>
      <c r="U8" s="49"/>
      <c r="V8" s="49"/>
      <c r="W8" s="50"/>
    </row>
    <row r="9" spans="3:27">
      <c r="C9" s="5">
        <f t="shared" si="0"/>
        <v>5</v>
      </c>
      <c r="D9" s="37" t="s">
        <v>50</v>
      </c>
      <c r="E9" s="38"/>
      <c r="F9" s="38"/>
      <c r="G9" s="38"/>
      <c r="H9" s="40" t="s">
        <v>70</v>
      </c>
      <c r="I9" s="43"/>
      <c r="J9" s="43"/>
      <c r="K9" s="43"/>
      <c r="L9" s="43"/>
      <c r="M9" s="43"/>
      <c r="N9" s="43"/>
      <c r="O9" s="44"/>
      <c r="P9" s="40" t="s">
        <v>53</v>
      </c>
      <c r="Q9" s="41"/>
      <c r="R9" s="41"/>
      <c r="S9" s="42"/>
      <c r="T9" s="40" t="s">
        <v>62</v>
      </c>
      <c r="U9" s="41"/>
      <c r="V9" s="41"/>
      <c r="W9" s="42"/>
    </row>
    <row r="10" spans="3:27">
      <c r="C10" s="5">
        <f t="shared" si="0"/>
        <v>6</v>
      </c>
      <c r="D10" s="37" t="s">
        <v>51</v>
      </c>
      <c r="E10" s="38"/>
      <c r="F10" s="38"/>
      <c r="G10" s="38"/>
      <c r="H10" s="40" t="s">
        <v>71</v>
      </c>
      <c r="I10" s="43"/>
      <c r="J10" s="43"/>
      <c r="K10" s="43"/>
      <c r="L10" s="43"/>
      <c r="M10" s="43"/>
      <c r="N10" s="43"/>
      <c r="O10" s="44"/>
      <c r="P10" s="40" t="s">
        <v>55</v>
      </c>
      <c r="Q10" s="41"/>
      <c r="R10" s="41"/>
      <c r="S10" s="42"/>
      <c r="T10" s="40" t="s">
        <v>65</v>
      </c>
      <c r="U10" s="41"/>
      <c r="V10" s="41"/>
      <c r="W10" s="42"/>
    </row>
    <row r="11" spans="3:27">
      <c r="C11" s="5">
        <f t="shared" si="0"/>
        <v>7</v>
      </c>
      <c r="D11" s="37" t="s">
        <v>50</v>
      </c>
      <c r="E11" s="38"/>
      <c r="F11" s="38"/>
      <c r="G11" s="38"/>
      <c r="H11" s="40" t="s">
        <v>72</v>
      </c>
      <c r="I11" s="43"/>
      <c r="J11" s="43"/>
      <c r="K11" s="43"/>
      <c r="L11" s="43"/>
      <c r="M11" s="43"/>
      <c r="N11" s="43"/>
      <c r="O11" s="44"/>
      <c r="P11" s="40" t="s">
        <v>55</v>
      </c>
      <c r="Q11" s="41"/>
      <c r="R11" s="41"/>
      <c r="S11" s="42"/>
      <c r="T11" s="40"/>
      <c r="U11" s="41"/>
      <c r="V11" s="41"/>
      <c r="W11" s="42"/>
    </row>
    <row r="12" spans="3:27">
      <c r="C12" s="5">
        <f t="shared" si="0"/>
        <v>8</v>
      </c>
      <c r="D12" s="37" t="s">
        <v>52</v>
      </c>
      <c r="E12" s="38"/>
      <c r="F12" s="38"/>
      <c r="G12" s="38"/>
      <c r="H12" s="40" t="s">
        <v>73</v>
      </c>
      <c r="I12" s="43"/>
      <c r="J12" s="43"/>
      <c r="K12" s="43"/>
      <c r="L12" s="43"/>
      <c r="M12" s="43"/>
      <c r="N12" s="43"/>
      <c r="O12" s="44"/>
      <c r="P12" s="40" t="s">
        <v>57</v>
      </c>
      <c r="Q12" s="41"/>
      <c r="R12" s="41"/>
      <c r="S12" s="42"/>
      <c r="T12" s="40" t="s">
        <v>59</v>
      </c>
      <c r="U12" s="41"/>
      <c r="V12" s="41"/>
      <c r="W12" s="42"/>
    </row>
    <row r="13" spans="3:27">
      <c r="C13" s="5">
        <f t="shared" si="0"/>
        <v>9</v>
      </c>
      <c r="D13" s="37" t="s">
        <v>51</v>
      </c>
      <c r="E13" s="38"/>
      <c r="F13" s="38"/>
      <c r="G13" s="38"/>
      <c r="H13" s="40" t="s">
        <v>74</v>
      </c>
      <c r="I13" s="43"/>
      <c r="J13" s="43"/>
      <c r="K13" s="43"/>
      <c r="L13" s="43"/>
      <c r="M13" s="43"/>
      <c r="N13" s="43"/>
      <c r="O13" s="44"/>
      <c r="P13" s="40" t="s">
        <v>53</v>
      </c>
      <c r="Q13" s="41"/>
      <c r="R13" s="41"/>
      <c r="S13" s="42"/>
      <c r="T13" s="40"/>
      <c r="U13" s="41"/>
      <c r="V13" s="41"/>
      <c r="W13" s="42"/>
    </row>
    <row r="14" spans="3:27">
      <c r="C14" s="5">
        <f t="shared" si="0"/>
        <v>10</v>
      </c>
      <c r="D14" s="37"/>
      <c r="E14" s="38"/>
      <c r="F14" s="38"/>
      <c r="G14" s="38"/>
      <c r="H14" s="40" t="s">
        <v>75</v>
      </c>
      <c r="I14" s="43"/>
      <c r="J14" s="43"/>
      <c r="K14" s="43"/>
      <c r="L14" s="43"/>
      <c r="M14" s="43"/>
      <c r="N14" s="43"/>
      <c r="O14" s="44"/>
      <c r="P14" s="40" t="s">
        <v>53</v>
      </c>
      <c r="Q14" s="41"/>
      <c r="R14" s="41"/>
      <c r="S14" s="42"/>
      <c r="T14" s="40" t="s">
        <v>61</v>
      </c>
      <c r="U14" s="41"/>
      <c r="V14" s="41"/>
      <c r="W14" s="42"/>
    </row>
    <row r="15" spans="3:27">
      <c r="C15" s="5">
        <f t="shared" si="0"/>
        <v>11</v>
      </c>
      <c r="D15" s="37" t="s">
        <v>50</v>
      </c>
      <c r="E15" s="38"/>
      <c r="F15" s="38"/>
      <c r="G15" s="38"/>
      <c r="H15" s="40" t="s">
        <v>76</v>
      </c>
      <c r="I15" s="43"/>
      <c r="J15" s="43"/>
      <c r="K15" s="43"/>
      <c r="L15" s="43"/>
      <c r="M15" s="43"/>
      <c r="N15" s="43"/>
      <c r="O15" s="44"/>
      <c r="P15" s="40" t="s">
        <v>57</v>
      </c>
      <c r="Q15" s="41"/>
      <c r="R15" s="41"/>
      <c r="S15" s="42"/>
      <c r="T15" s="40" t="s">
        <v>60</v>
      </c>
      <c r="U15" s="41"/>
      <c r="V15" s="41"/>
      <c r="W15" s="42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P14:S14"/>
    <mergeCell ref="T14:W14"/>
    <mergeCell ref="P15:S15"/>
    <mergeCell ref="T15:W15"/>
    <mergeCell ref="H14:O14"/>
    <mergeCell ref="H15:O15"/>
    <mergeCell ref="P12:S12"/>
    <mergeCell ref="T12:W12"/>
    <mergeCell ref="P13:S13"/>
    <mergeCell ref="T13:W13"/>
    <mergeCell ref="H12:O12"/>
    <mergeCell ref="H13:O13"/>
    <mergeCell ref="P10:S10"/>
    <mergeCell ref="T10:W10"/>
    <mergeCell ref="P11:S11"/>
    <mergeCell ref="T11:W11"/>
    <mergeCell ref="H10:O10"/>
    <mergeCell ref="H11:O11"/>
    <mergeCell ref="P8:S8"/>
    <mergeCell ref="P9:S9"/>
    <mergeCell ref="T9:W9"/>
    <mergeCell ref="H8:O8"/>
    <mergeCell ref="H9:O9"/>
    <mergeCell ref="T7:W8"/>
    <mergeCell ref="P6:S6"/>
    <mergeCell ref="T6:W6"/>
    <mergeCell ref="P7:S7"/>
    <mergeCell ref="H6:O6"/>
    <mergeCell ref="H7:O7"/>
    <mergeCell ref="P4:S4"/>
    <mergeCell ref="T4:W4"/>
    <mergeCell ref="P5:S5"/>
    <mergeCell ref="T5:W5"/>
    <mergeCell ref="H4:O4"/>
    <mergeCell ref="H5:O5"/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G7"/>
  <sheetViews>
    <sheetView workbookViewId="0">
      <selection activeCell="G2" sqref="G2"/>
    </sheetView>
  </sheetViews>
  <sheetFormatPr defaultRowHeight="18.75"/>
  <cols>
    <col min="1" max="6" width="9" style="4"/>
    <col min="7" max="7" width="9" style="30"/>
    <col min="8" max="16384" width="9" style="4"/>
  </cols>
  <sheetData>
    <row r="2" spans="2:7">
      <c r="B2" s="6" t="s">
        <v>100</v>
      </c>
    </row>
    <row r="4" spans="2:7">
      <c r="B4" s="6" t="str">
        <f>HYPERLINK("http://localhost:3000/issues/89")</f>
        <v>http://localhost:3000/issues/89</v>
      </c>
    </row>
    <row r="7" spans="2:7" s="29" customFormat="1">
      <c r="G7" s="30"/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view="pageBreakPreview" zoomScaleNormal="100" zoomScaleSheetLayoutView="100" workbookViewId="0">
      <selection activeCell="N15" sqref="N15"/>
    </sheetView>
  </sheetViews>
  <sheetFormatPr defaultRowHeight="18.75"/>
  <cols>
    <col min="5" max="5" width="9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1">
        <f ca="1">現在日付</f>
        <v>46187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0" t="s">
        <v>105</v>
      </c>
      <c r="C2" s="10" t="s">
        <v>106</v>
      </c>
      <c r="D2" s="10" t="s">
        <v>107</v>
      </c>
      <c r="E2" s="10" t="s">
        <v>108</v>
      </c>
      <c r="F2" s="10" t="s">
        <v>109</v>
      </c>
      <c r="G2" s="10" t="s">
        <v>153</v>
      </c>
    </row>
    <row r="3" spans="2:7" hidden="1">
      <c r="B3" s="10">
        <v>1</v>
      </c>
      <c r="C3" s="10" t="s">
        <v>110</v>
      </c>
      <c r="D3" s="10" t="s">
        <v>115</v>
      </c>
      <c r="E3" s="10" t="s">
        <v>119</v>
      </c>
      <c r="F3" s="10" t="s">
        <v>123</v>
      </c>
      <c r="G3" s="10">
        <v>100</v>
      </c>
    </row>
    <row r="4" spans="2:7" hidden="1">
      <c r="B4" s="10">
        <v>2</v>
      </c>
      <c r="C4" s="10" t="s">
        <v>111</v>
      </c>
      <c r="D4" s="10" t="s">
        <v>116</v>
      </c>
      <c r="E4" s="10" t="s">
        <v>120</v>
      </c>
      <c r="F4" s="10" t="s">
        <v>124</v>
      </c>
      <c r="G4" s="10">
        <v>125</v>
      </c>
    </row>
    <row r="5" spans="2:7" hidden="1">
      <c r="B5" s="10">
        <v>3</v>
      </c>
      <c r="C5" s="10" t="s">
        <v>112</v>
      </c>
      <c r="D5" s="10" t="s">
        <v>115</v>
      </c>
      <c r="E5" s="10" t="s">
        <v>121</v>
      </c>
      <c r="F5" s="10" t="s">
        <v>125</v>
      </c>
      <c r="G5" s="10">
        <v>110</v>
      </c>
    </row>
    <row r="6" spans="2:7" hidden="1">
      <c r="B6" s="10">
        <v>4</v>
      </c>
      <c r="C6" s="10" t="s">
        <v>112</v>
      </c>
      <c r="D6" s="10" t="s">
        <v>117</v>
      </c>
      <c r="E6" s="10" t="s">
        <v>120</v>
      </c>
      <c r="F6" s="10" t="s">
        <v>126</v>
      </c>
      <c r="G6" s="10">
        <v>95</v>
      </c>
    </row>
    <row r="7" spans="2:7" hidden="1">
      <c r="B7" s="10">
        <v>5</v>
      </c>
      <c r="C7" s="10" t="s">
        <v>113</v>
      </c>
      <c r="D7" s="10" t="s">
        <v>118</v>
      </c>
      <c r="E7" s="10" t="s">
        <v>119</v>
      </c>
      <c r="F7" s="10" t="s">
        <v>127</v>
      </c>
      <c r="G7" s="10">
        <v>98</v>
      </c>
    </row>
    <row r="8" spans="2:7" hidden="1">
      <c r="B8" s="19">
        <v>6</v>
      </c>
      <c r="C8" s="19" t="s">
        <v>114</v>
      </c>
      <c r="D8" s="19" t="s">
        <v>118</v>
      </c>
      <c r="E8" s="19" t="s">
        <v>122</v>
      </c>
      <c r="F8" s="19" t="s">
        <v>128</v>
      </c>
      <c r="G8" s="19">
        <v>111</v>
      </c>
    </row>
    <row r="9" spans="2:7" hidden="1">
      <c r="B9" s="10">
        <v>7</v>
      </c>
      <c r="C9" s="10" t="s">
        <v>110</v>
      </c>
      <c r="D9" s="10" t="s">
        <v>117</v>
      </c>
      <c r="E9" s="10" t="s">
        <v>119</v>
      </c>
      <c r="F9" s="10" t="s">
        <v>129</v>
      </c>
      <c r="G9" s="10">
        <v>107</v>
      </c>
    </row>
    <row r="10" spans="2:7" hidden="1">
      <c r="B10" s="10">
        <v>8</v>
      </c>
      <c r="C10" s="20"/>
      <c r="D10" s="10" t="s">
        <v>131</v>
      </c>
      <c r="E10" s="10" t="s">
        <v>132</v>
      </c>
      <c r="F10" s="10" t="s">
        <v>133</v>
      </c>
      <c r="G10" s="20">
        <v>140</v>
      </c>
    </row>
    <row r="11" spans="2:7" hidden="1">
      <c r="B11" s="10">
        <v>9</v>
      </c>
      <c r="C11" s="10" t="s">
        <v>130</v>
      </c>
      <c r="D11" s="10" t="s">
        <v>117</v>
      </c>
      <c r="E11" s="10"/>
      <c r="F11" s="20" t="s">
        <v>134</v>
      </c>
      <c r="G11" s="10">
        <v>132</v>
      </c>
    </row>
    <row r="12" spans="2:7" hidden="1">
      <c r="B12" s="10">
        <v>10</v>
      </c>
      <c r="C12" s="10" t="s">
        <v>110</v>
      </c>
      <c r="D12" s="10" t="s">
        <v>116</v>
      </c>
      <c r="E12" s="10" t="s">
        <v>122</v>
      </c>
      <c r="F12" s="10" t="s">
        <v>157</v>
      </c>
      <c r="G12" s="10">
        <v>122</v>
      </c>
    </row>
    <row r="13" spans="2:7" hidden="1">
      <c r="B13" s="19">
        <v>11</v>
      </c>
      <c r="C13" s="19" t="s">
        <v>110</v>
      </c>
      <c r="D13" s="19" t="s">
        <v>117</v>
      </c>
      <c r="E13" s="19" t="s">
        <v>120</v>
      </c>
      <c r="F13" s="19"/>
      <c r="G13" s="19">
        <v>100</v>
      </c>
    </row>
    <row r="14" spans="2:7" hidden="1">
      <c r="B14" s="10">
        <v>12</v>
      </c>
      <c r="C14" s="10" t="s">
        <v>147</v>
      </c>
      <c r="D14" s="10" t="s">
        <v>115</v>
      </c>
      <c r="E14" s="10" t="s">
        <v>120</v>
      </c>
      <c r="F14" s="10" t="s">
        <v>126</v>
      </c>
      <c r="G14" s="10">
        <v>88</v>
      </c>
    </row>
    <row r="15" spans="2:7" hidden="1">
      <c r="B15" s="10">
        <v>13</v>
      </c>
      <c r="C15" s="10" t="s">
        <v>148</v>
      </c>
      <c r="D15" s="20" t="s">
        <v>154</v>
      </c>
      <c r="E15" s="10" t="s">
        <v>121</v>
      </c>
      <c r="F15" s="10" t="s">
        <v>126</v>
      </c>
      <c r="G15" s="10">
        <v>87</v>
      </c>
    </row>
    <row r="16" spans="2:7" hidden="1">
      <c r="B16" s="10">
        <v>14</v>
      </c>
      <c r="C16" s="10" t="s">
        <v>149</v>
      </c>
      <c r="D16" s="10" t="s">
        <v>131</v>
      </c>
      <c r="E16" s="10" t="s">
        <v>119</v>
      </c>
      <c r="F16" s="10" t="s">
        <v>124</v>
      </c>
      <c r="G16" s="10">
        <v>90</v>
      </c>
    </row>
    <row r="17" spans="2:7" hidden="1">
      <c r="B17" s="10">
        <v>15</v>
      </c>
      <c r="C17" s="10" t="s">
        <v>150</v>
      </c>
      <c r="D17" s="10" t="s">
        <v>117</v>
      </c>
      <c r="E17" s="10" t="s">
        <v>119</v>
      </c>
      <c r="F17" s="10" t="s">
        <v>125</v>
      </c>
      <c r="G17" s="10">
        <v>95</v>
      </c>
    </row>
    <row r="18" spans="2:7">
      <c r="B18" s="19">
        <v>16</v>
      </c>
      <c r="C18" s="19" t="s">
        <v>148</v>
      </c>
      <c r="D18" s="19" t="s">
        <v>115</v>
      </c>
      <c r="E18" s="19" t="s">
        <v>122</v>
      </c>
      <c r="F18" s="19" t="s">
        <v>124</v>
      </c>
      <c r="G18" s="19">
        <v>104</v>
      </c>
    </row>
    <row r="19" spans="2:7" hidden="1">
      <c r="B19" s="10">
        <v>17</v>
      </c>
      <c r="C19" s="10" t="s">
        <v>149</v>
      </c>
      <c r="D19" s="10" t="s">
        <v>115</v>
      </c>
      <c r="E19" s="10" t="s">
        <v>155</v>
      </c>
      <c r="F19" s="10" t="s">
        <v>123</v>
      </c>
      <c r="G19" s="10">
        <v>99</v>
      </c>
    </row>
    <row r="20" spans="2:7">
      <c r="B20" s="19">
        <v>18</v>
      </c>
      <c r="C20" s="19" t="s">
        <v>151</v>
      </c>
      <c r="D20" s="19" t="s">
        <v>116</v>
      </c>
      <c r="E20" s="19" t="s">
        <v>156</v>
      </c>
      <c r="F20" s="19" t="s">
        <v>129</v>
      </c>
      <c r="G20" s="19">
        <v>104</v>
      </c>
    </row>
    <row r="21" spans="2:7" hidden="1">
      <c r="B21" s="10">
        <v>19</v>
      </c>
      <c r="C21" s="10" t="s">
        <v>152</v>
      </c>
      <c r="D21" s="10"/>
      <c r="E21" s="10" t="s">
        <v>156</v>
      </c>
      <c r="F21" s="10" t="s">
        <v>128</v>
      </c>
      <c r="G21" s="10">
        <v>115</v>
      </c>
    </row>
    <row r="22" spans="2:7" hidden="1">
      <c r="B22" s="10">
        <v>20</v>
      </c>
      <c r="C22" s="10" t="s">
        <v>152</v>
      </c>
      <c r="D22" s="10" t="s">
        <v>131</v>
      </c>
      <c r="E22" s="10" t="s">
        <v>119</v>
      </c>
      <c r="F22" s="10" t="s">
        <v>128</v>
      </c>
      <c r="G22" s="10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141</v>
      </c>
    </row>
    <row r="3" spans="2:6">
      <c r="B3" t="s">
        <v>139</v>
      </c>
      <c r="C3" s="24" t="s">
        <v>27</v>
      </c>
      <c r="D3" s="25" t="s">
        <v>34</v>
      </c>
      <c r="E3" s="25" t="s">
        <v>32</v>
      </c>
      <c r="F3" s="26" t="s">
        <v>33</v>
      </c>
    </row>
    <row r="4" spans="2:6">
      <c r="B4" t="s">
        <v>139</v>
      </c>
      <c r="C4" s="13" t="s">
        <v>28</v>
      </c>
      <c r="D4" s="5">
        <v>33</v>
      </c>
      <c r="E4" s="5">
        <v>178</v>
      </c>
      <c r="F4" s="12">
        <v>75</v>
      </c>
    </row>
    <row r="5" spans="2:6">
      <c r="B5" t="s">
        <v>139</v>
      </c>
      <c r="C5" s="13" t="s">
        <v>29</v>
      </c>
      <c r="D5" s="5">
        <v>38</v>
      </c>
      <c r="E5" s="5">
        <v>155</v>
      </c>
      <c r="F5" s="12">
        <v>58</v>
      </c>
    </row>
    <row r="6" spans="2:6">
      <c r="B6" t="s">
        <v>139</v>
      </c>
      <c r="C6" s="13" t="s">
        <v>30</v>
      </c>
      <c r="D6" s="5">
        <v>45</v>
      </c>
      <c r="E6" s="5">
        <v>167</v>
      </c>
      <c r="F6" s="12">
        <v>55</v>
      </c>
    </row>
    <row r="7" spans="2:6">
      <c r="B7" t="s">
        <v>139</v>
      </c>
      <c r="C7" s="8" t="s">
        <v>31</v>
      </c>
      <c r="D7" s="18">
        <v>57</v>
      </c>
      <c r="E7" s="18">
        <v>160</v>
      </c>
      <c r="F7" s="14">
        <v>48</v>
      </c>
    </row>
    <row r="9" spans="2:6">
      <c r="B9" t="s">
        <v>140</v>
      </c>
      <c r="C9" s="15" t="s">
        <v>27</v>
      </c>
      <c r="D9" s="16" t="s">
        <v>34</v>
      </c>
      <c r="E9" s="16" t="s">
        <v>32</v>
      </c>
      <c r="F9" s="17" t="s">
        <v>33</v>
      </c>
    </row>
    <row r="10" spans="2:6" hidden="1">
      <c r="B10" t="s">
        <v>140</v>
      </c>
      <c r="C10" s="13" t="s">
        <v>135</v>
      </c>
      <c r="D10" s="5">
        <v>17</v>
      </c>
      <c r="E10" s="5">
        <v>160</v>
      </c>
      <c r="F10" s="12">
        <v>50</v>
      </c>
    </row>
    <row r="11" spans="2:6">
      <c r="B11" t="s">
        <v>140</v>
      </c>
      <c r="C11" s="21" t="s">
        <v>136</v>
      </c>
      <c r="D11" s="19">
        <v>16</v>
      </c>
      <c r="E11" s="19">
        <v>165</v>
      </c>
      <c r="F11" s="22">
        <v>45</v>
      </c>
    </row>
    <row r="12" spans="2:6">
      <c r="B12" t="s">
        <v>140</v>
      </c>
      <c r="C12" s="21" t="s">
        <v>137</v>
      </c>
      <c r="D12" s="19">
        <v>17</v>
      </c>
      <c r="E12" s="19">
        <v>155</v>
      </c>
      <c r="F12" s="22">
        <v>48</v>
      </c>
    </row>
    <row r="13" spans="2:6" hidden="1">
      <c r="B13" t="s">
        <v>140</v>
      </c>
      <c r="C13" s="8" t="s">
        <v>138</v>
      </c>
      <c r="D13" s="18">
        <v>15</v>
      </c>
      <c r="E13" s="18">
        <v>180</v>
      </c>
      <c r="F13" s="14">
        <v>80</v>
      </c>
    </row>
    <row r="15" spans="2:6">
      <c r="B15" t="s">
        <v>142</v>
      </c>
      <c r="C15" s="15" t="s">
        <v>27</v>
      </c>
      <c r="D15" s="16" t="s">
        <v>34</v>
      </c>
      <c r="E15" s="16" t="s">
        <v>32</v>
      </c>
      <c r="F15" s="17" t="s">
        <v>33</v>
      </c>
    </row>
    <row r="16" spans="2:6">
      <c r="B16" t="s">
        <v>142</v>
      </c>
      <c r="C16" s="13" t="s">
        <v>143</v>
      </c>
      <c r="D16" s="5">
        <v>70</v>
      </c>
      <c r="E16" s="5">
        <v>172</v>
      </c>
      <c r="F16" s="12">
        <v>55</v>
      </c>
    </row>
    <row r="17" spans="2:6">
      <c r="B17" t="s">
        <v>142</v>
      </c>
      <c r="C17" s="13" t="s">
        <v>144</v>
      </c>
      <c r="D17" s="5">
        <v>78</v>
      </c>
      <c r="E17" s="5">
        <v>165</v>
      </c>
      <c r="F17" s="12">
        <v>47</v>
      </c>
    </row>
    <row r="18" spans="2:6">
      <c r="B18" t="s">
        <v>142</v>
      </c>
      <c r="C18" s="13" t="s">
        <v>145</v>
      </c>
      <c r="D18" s="5">
        <v>83</v>
      </c>
      <c r="E18" s="5">
        <v>170</v>
      </c>
      <c r="F18" s="12">
        <v>43</v>
      </c>
    </row>
    <row r="19" spans="2:6" hidden="1">
      <c r="B19" t="s">
        <v>142</v>
      </c>
      <c r="C19" s="8" t="s">
        <v>146</v>
      </c>
      <c r="D19" s="18">
        <v>75</v>
      </c>
      <c r="E19" s="18">
        <v>158</v>
      </c>
      <c r="F19" s="14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158</v>
      </c>
    </row>
    <row r="4" spans="2:8">
      <c r="C4" s="51" t="s">
        <v>79</v>
      </c>
      <c r="D4" s="44"/>
    </row>
    <row r="5" spans="2:8">
      <c r="C5" s="10" t="s">
        <v>160</v>
      </c>
      <c r="D5" s="23">
        <v>46180</v>
      </c>
    </row>
    <row r="6" spans="2:8">
      <c r="C6" s="51" t="s">
        <v>159</v>
      </c>
      <c r="D6" s="44"/>
    </row>
    <row r="7" spans="2:8">
      <c r="C7" s="10"/>
      <c r="D7" s="10"/>
    </row>
    <row r="8" spans="2:8">
      <c r="C8" s="51" t="s">
        <v>81</v>
      </c>
      <c r="D8" s="44"/>
    </row>
    <row r="9" spans="2:8">
      <c r="C9" s="10"/>
      <c r="D9" s="10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52F-28BC-44D4-8287-BCFBC7120806}">
  <dimension ref="B2:AM48"/>
  <sheetViews>
    <sheetView showGridLines="0" workbookViewId="0">
      <selection activeCell="D4" sqref="D4"/>
    </sheetView>
  </sheetViews>
  <sheetFormatPr defaultColWidth="3.125" defaultRowHeight="18.75" outlineLevelRow="1" outlineLevelCol="1"/>
  <cols>
    <col min="4" max="4" width="3.125" customWidth="1"/>
    <col min="5" max="15" width="3.125" customWidth="1" outlineLevel="1"/>
    <col min="16" max="16" width="3.125" customWidth="1"/>
    <col min="17" max="27" width="3.125" customWidth="1" outlineLevel="1"/>
    <col min="29" max="39" width="3.125" customWidth="1" outlineLevel="1"/>
  </cols>
  <sheetData>
    <row r="2" spans="2:39">
      <c r="D2" s="28" t="s">
        <v>171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8" t="s">
        <v>170</v>
      </c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8" t="s">
        <v>169</v>
      </c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2:39"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</v>
      </c>
      <c r="Q3">
        <v>2</v>
      </c>
      <c r="R3">
        <v>3</v>
      </c>
      <c r="S3">
        <v>4</v>
      </c>
      <c r="T3">
        <v>5</v>
      </c>
      <c r="U3">
        <v>6</v>
      </c>
      <c r="V3">
        <v>7</v>
      </c>
      <c r="W3">
        <v>8</v>
      </c>
      <c r="X3">
        <v>9</v>
      </c>
      <c r="Y3">
        <v>10</v>
      </c>
      <c r="Z3">
        <v>11</v>
      </c>
      <c r="AA3">
        <v>12</v>
      </c>
      <c r="AB3">
        <v>1</v>
      </c>
      <c r="AC3">
        <v>2</v>
      </c>
      <c r="AD3">
        <v>3</v>
      </c>
      <c r="AE3">
        <v>4</v>
      </c>
      <c r="AF3">
        <v>5</v>
      </c>
      <c r="AG3">
        <v>6</v>
      </c>
      <c r="AH3">
        <v>7</v>
      </c>
      <c r="AI3">
        <v>8</v>
      </c>
      <c r="AJ3">
        <v>9</v>
      </c>
      <c r="AK3">
        <v>10</v>
      </c>
      <c r="AL3">
        <v>11</v>
      </c>
      <c r="AM3">
        <v>12</v>
      </c>
    </row>
    <row r="4" spans="2:39">
      <c r="B4">
        <v>1</v>
      </c>
    </row>
    <row r="5" spans="2:39" outlineLevel="1">
      <c r="C5" t="s">
        <v>161</v>
      </c>
      <c r="D5" s="29"/>
      <c r="E5" s="29"/>
      <c r="F5" s="29"/>
      <c r="G5" s="29"/>
      <c r="H5" s="29"/>
      <c r="I5" s="29"/>
      <c r="J5" s="29"/>
      <c r="K5" s="29"/>
    </row>
    <row r="6" spans="2:39" outlineLevel="1">
      <c r="C6" t="s">
        <v>162</v>
      </c>
      <c r="L6" s="29"/>
      <c r="M6" s="29"/>
      <c r="N6" s="29"/>
      <c r="O6" s="29"/>
      <c r="P6" s="29"/>
      <c r="Q6" s="29"/>
      <c r="R6" s="29"/>
    </row>
    <row r="7" spans="2:39" outlineLevel="1">
      <c r="C7" t="s">
        <v>163</v>
      </c>
      <c r="S7" s="29"/>
      <c r="T7" s="29"/>
      <c r="U7" s="29"/>
      <c r="V7" s="29"/>
      <c r="W7" s="29"/>
      <c r="X7" s="29"/>
      <c r="Y7" s="29"/>
      <c r="Z7" s="29"/>
    </row>
    <row r="8" spans="2:39" outlineLevel="1">
      <c r="C8" t="s">
        <v>164</v>
      </c>
      <c r="AA8" s="29"/>
      <c r="AB8" s="29"/>
      <c r="AC8" s="29"/>
      <c r="AD8" s="29"/>
      <c r="AE8" s="29"/>
    </row>
    <row r="9" spans="2:39">
      <c r="B9">
        <v>2</v>
      </c>
    </row>
    <row r="10" spans="2:39" outlineLevel="1">
      <c r="C10" t="s">
        <v>161</v>
      </c>
      <c r="D10" s="29"/>
      <c r="E10" s="29"/>
      <c r="F10" s="29"/>
    </row>
    <row r="11" spans="2:39" outlineLevel="1">
      <c r="C11" t="s">
        <v>162</v>
      </c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2:39">
      <c r="B12">
        <v>3</v>
      </c>
    </row>
    <row r="13" spans="2:39" outlineLevel="1">
      <c r="C13" t="s">
        <v>161</v>
      </c>
      <c r="D13" s="29"/>
      <c r="L13" s="29"/>
      <c r="X13" s="29"/>
      <c r="Y13" s="29"/>
    </row>
    <row r="14" spans="2:39" outlineLevel="1">
      <c r="C14" t="s">
        <v>162</v>
      </c>
      <c r="E14" s="29"/>
      <c r="K14" s="29"/>
      <c r="M14" s="29"/>
      <c r="V14" s="29"/>
      <c r="W14" s="29"/>
    </row>
    <row r="15" spans="2:39" outlineLevel="1">
      <c r="C15" t="s">
        <v>163</v>
      </c>
      <c r="F15" s="29"/>
      <c r="J15" s="29"/>
      <c r="N15" s="29"/>
      <c r="T15" s="29"/>
      <c r="U15" s="29"/>
    </row>
    <row r="16" spans="2:39" outlineLevel="1">
      <c r="C16" t="s">
        <v>164</v>
      </c>
      <c r="G16" s="29"/>
      <c r="I16" s="29"/>
      <c r="O16" s="29"/>
      <c r="R16" s="29"/>
      <c r="S16" s="29"/>
    </row>
    <row r="17" spans="2:29" outlineLevel="1">
      <c r="C17" t="s">
        <v>165</v>
      </c>
      <c r="H17" s="29"/>
      <c r="P17" s="29"/>
      <c r="Q17" s="29"/>
    </row>
    <row r="18" spans="2:29">
      <c r="B18">
        <v>4</v>
      </c>
    </row>
    <row r="19" spans="2:29" outlineLevel="1">
      <c r="C19" t="s">
        <v>164</v>
      </c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</row>
    <row r="20" spans="2:29" outlineLevel="1">
      <c r="C20" t="s">
        <v>165</v>
      </c>
      <c r="T20" s="29"/>
      <c r="U20" s="29"/>
    </row>
    <row r="21" spans="2:29" outlineLevel="1">
      <c r="C21" t="s">
        <v>166</v>
      </c>
      <c r="W21" s="29"/>
      <c r="X21" s="29"/>
      <c r="Y21" s="29"/>
      <c r="Z21" s="29"/>
    </row>
    <row r="22" spans="2:29" outlineLevel="1">
      <c r="C22" t="s">
        <v>167</v>
      </c>
      <c r="AA22" s="29"/>
    </row>
    <row r="23" spans="2:29" outlineLevel="1">
      <c r="C23" t="s">
        <v>168</v>
      </c>
      <c r="AB23" s="29"/>
    </row>
    <row r="24" spans="2:29">
      <c r="B24">
        <v>5</v>
      </c>
    </row>
    <row r="25" spans="2:29" outlineLevel="1">
      <c r="C25" t="s">
        <v>165</v>
      </c>
      <c r="D25" s="29"/>
      <c r="E25" s="29"/>
      <c r="F25" s="29"/>
      <c r="J25" s="29"/>
      <c r="K25" s="29"/>
      <c r="L25" s="29"/>
      <c r="P25" s="29"/>
      <c r="Q25" s="29"/>
      <c r="S25" s="29"/>
      <c r="U25" s="29"/>
      <c r="W25" s="29"/>
      <c r="AA25" s="29"/>
      <c r="AB25" s="29"/>
      <c r="AC25" s="29"/>
    </row>
    <row r="26" spans="2:29" outlineLevel="1">
      <c r="C26" t="s">
        <v>167</v>
      </c>
      <c r="G26" s="29"/>
      <c r="H26" s="29"/>
      <c r="I26" s="29"/>
      <c r="M26" s="29"/>
      <c r="N26" s="29"/>
      <c r="O26" s="29"/>
    </row>
    <row r="27" spans="2:29">
      <c r="B27">
        <v>6</v>
      </c>
    </row>
    <row r="28" spans="2:29" outlineLevel="1">
      <c r="C28" t="s">
        <v>161</v>
      </c>
      <c r="G28" s="29"/>
      <c r="I28" s="29"/>
      <c r="J28" s="29"/>
    </row>
    <row r="29" spans="2:29" outlineLevel="1">
      <c r="C29" t="s">
        <v>162</v>
      </c>
      <c r="F29" s="29"/>
      <c r="H29" s="29"/>
      <c r="I29" s="29"/>
    </row>
    <row r="30" spans="2:29" outlineLevel="1">
      <c r="C30" t="s">
        <v>163</v>
      </c>
      <c r="D30" s="29"/>
      <c r="E30" s="29"/>
      <c r="F30" s="29"/>
    </row>
    <row r="31" spans="2:29" outlineLevel="1">
      <c r="C31" t="s">
        <v>164</v>
      </c>
      <c r="K31" s="29"/>
      <c r="L31" s="29"/>
      <c r="M31" s="29"/>
    </row>
    <row r="32" spans="2:29" outlineLevel="1">
      <c r="C32" t="s">
        <v>165</v>
      </c>
      <c r="M32" s="29"/>
      <c r="N32" s="29"/>
    </row>
    <row r="33" spans="2:38" outlineLevel="1">
      <c r="C33" t="s">
        <v>166</v>
      </c>
      <c r="O33" s="29"/>
      <c r="P33" s="29"/>
      <c r="Q33" s="29"/>
      <c r="X33" s="29"/>
      <c r="Y33" s="29"/>
    </row>
    <row r="34" spans="2:38" outlineLevel="1">
      <c r="C34" t="s">
        <v>167</v>
      </c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</row>
    <row r="35" spans="2:38" outlineLevel="1">
      <c r="C35" t="s">
        <v>168</v>
      </c>
      <c r="P35" s="29"/>
      <c r="Y35" s="29"/>
      <c r="Z35" s="29"/>
      <c r="AA35" s="29"/>
    </row>
    <row r="36" spans="2:38">
      <c r="B36">
        <v>7</v>
      </c>
    </row>
    <row r="37" spans="2:38" outlineLevel="1">
      <c r="C37" t="s">
        <v>163</v>
      </c>
      <c r="H37" s="29"/>
    </row>
    <row r="38" spans="2:38" outlineLevel="1">
      <c r="C38" t="s">
        <v>165</v>
      </c>
      <c r="J38" s="29"/>
      <c r="AJ38" s="29"/>
      <c r="AK38" s="29"/>
      <c r="AL38" s="29"/>
    </row>
    <row r="39" spans="2:38" outlineLevel="1">
      <c r="C39" t="s">
        <v>166</v>
      </c>
      <c r="L39" s="29"/>
      <c r="M39" s="29"/>
      <c r="S39" s="29"/>
      <c r="T39" s="29"/>
      <c r="U39" s="29"/>
      <c r="X39" s="29"/>
      <c r="Z39" s="29"/>
      <c r="AC39" s="29"/>
      <c r="AD39" s="29"/>
      <c r="AE39" s="29"/>
      <c r="AF39" s="29"/>
      <c r="AG39" s="29"/>
      <c r="AH39" s="29"/>
    </row>
    <row r="40" spans="2:38" outlineLevel="1">
      <c r="C40" t="s">
        <v>168</v>
      </c>
      <c r="O40" s="29"/>
      <c r="P40" s="29"/>
      <c r="Q40" s="29"/>
      <c r="R40" s="29"/>
      <c r="S40" s="29"/>
      <c r="T40" s="29"/>
    </row>
    <row r="41" spans="2:38">
      <c r="B41">
        <v>8</v>
      </c>
    </row>
    <row r="42" spans="2:38" outlineLevel="1">
      <c r="C42" t="s">
        <v>162</v>
      </c>
      <c r="E42" s="29"/>
      <c r="F42" s="29"/>
      <c r="Y42" s="29"/>
      <c r="Z42" s="29"/>
      <c r="AA42" s="29"/>
      <c r="AB42" s="29"/>
      <c r="AC42" s="29"/>
      <c r="AD42" s="29"/>
      <c r="AE42" s="29"/>
      <c r="AF42" s="29"/>
      <c r="AG42" s="29"/>
    </row>
    <row r="43" spans="2:38" outlineLevel="1">
      <c r="C43" t="s">
        <v>164</v>
      </c>
      <c r="I43" s="29"/>
      <c r="J43" s="29"/>
      <c r="K43" s="29"/>
      <c r="L43" s="29"/>
    </row>
    <row r="44" spans="2:38" outlineLevel="1">
      <c r="C44" t="s">
        <v>165</v>
      </c>
      <c r="Q44" s="29"/>
      <c r="S44" s="29"/>
      <c r="U44" s="29"/>
      <c r="W44" s="29"/>
    </row>
    <row r="45" spans="2:38">
      <c r="B45">
        <v>9</v>
      </c>
    </row>
    <row r="46" spans="2:38" outlineLevel="1">
      <c r="C46" t="s">
        <v>161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</row>
    <row r="47" spans="2:38" outlineLevel="1">
      <c r="C47" t="s">
        <v>164</v>
      </c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</row>
    <row r="48" spans="2:38" outlineLevel="1">
      <c r="C48" t="s">
        <v>168</v>
      </c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18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25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罫線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グループ化</vt:lpstr>
      <vt:lpstr>非表示シート</vt:lpstr>
      <vt:lpstr>グラフのみのシート</vt:lpstr>
      <vt:lpstr>名前!_C3</vt:lpstr>
      <vt:lpstr>Sequence!Print_Area</vt:lpstr>
      <vt:lpstr>テキストシート!Print_Area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2026-06-14T02:07:26Z</dcterms:modified>
</cp:coreProperties>
</file>