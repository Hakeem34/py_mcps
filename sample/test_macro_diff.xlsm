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A48D4C65-C745-47FE-B032-3DEA3F2D0AC9}" xr6:coauthVersionLast="47" xr6:coauthVersionMax="47" xr10:uidLastSave="{00000000-0000-0000-0000-000000000000}"/>
  <bookViews>
    <workbookView xWindow="-120" yWindow="-120" windowWidth="29040" windowHeight="15720" firstSheet="4" activeTab="13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罫線" sheetId="19" r:id="rId9"/>
    <sheet name="グラフのみのシート" sheetId="10" r:id="rId10"/>
    <sheet name="表とグラフ" sheetId="7" r:id="rId11"/>
    <sheet name="一覧表" sheetId="9" r:id="rId12"/>
    <sheet name="リンク" sheetId="12" r:id="rId13"/>
    <sheet name="名前" sheetId="13" r:id="rId14"/>
    <sheet name="オートフィルタ" sheetId="15" r:id="rId15"/>
    <sheet name="テーブル" sheetId="16" r:id="rId16"/>
    <sheet name="マクロ" sheetId="17" r:id="rId17"/>
    <sheet name="グループ化" sheetId="18" r:id="rId18"/>
    <sheet name="画像" sheetId="20" r:id="rId19"/>
    <sheet name="Samples" sheetId="21" r:id="rId20"/>
    <sheet name="非表示シート" sheetId="14" state="hidden" r:id="rId21"/>
  </sheets>
  <externalReferences>
    <externalReference r:id="rId22"/>
  </externalReferences>
  <definedNames>
    <definedName name="_C3" comment="コメント" localSheetId="13">名前!$C$3</definedName>
    <definedName name="_xlnm._FilterDatabase" localSheetId="14" hidden="1">オートフィルタ!$B$2:$G$22</definedName>
    <definedName name="_xlnm._FilterDatabase" localSheetId="15" hidden="1">テーブル!$B$2:$F$2</definedName>
    <definedName name="_xlnm.Print_Area" localSheetId="5">Sequence!$A$1:$BD$34</definedName>
    <definedName name="_xlnm.Print_Area" localSheetId="3">テキストシート!$A$1:$L$11</definedName>
    <definedName name="_xlnm.Print_Area" localSheetId="13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7" l="1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<sst xmlns="http://schemas.openxmlformats.org/spreadsheetml/2006/main" count="313" uniqueCount="193">
  <si>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</si>
  <si>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</si>
  <si>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</si>
  <si>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</si>
  <si>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</si>
  <si>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</si>
  <si>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</si>
  <si>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</si>
  <si>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</si>
  <si>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</si>
  <si>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</si>
  <si>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</si>
  <si>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</si>
  <si>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</si>
  <si>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</si>
  <si>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</si>
  <si>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</si>
  <si>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</si>
  <si>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</si>
  <si>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</si>
  <si>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</si>
  <si>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</si>
  <si>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</si>
  <si>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</si>
  <si>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</si>
  <si>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</si>
  <si>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</si>
  <si>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</si>
  <si>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</si>
  <si>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</si>
  <si>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</si>
  <si>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</si>
  <si>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</si>
  <si>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</si>
  <si>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</si>
  <si>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</si>
  <si>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</si>
  <si>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</si>
  <si>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</si>
  <si>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</si>
  <si>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</si>
  <si>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</si>
  <si>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</si>
  <si>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</si>
  <si>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</si>
  <si>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</si>
  <si>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</si>
  <si>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</si>
  <si>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</si>
  <si>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</si>
  <si>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</si>
  <si>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</si>
  <si>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</si>
  <si>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</si>
  <si>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</si>
  <si>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</si>
  <si>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</si>
  <si>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</si>
  <si>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</si>
  <si>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</si>
  <si>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</si>
  <si>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</si>
  <si>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</si>
  <si>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</si>
  <si>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</si>
  <si>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</si>
  <si>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</si>
  <si>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</si>
  <si>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</si>
  <si>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</si>
  <si>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</si>
  <si>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</si>
  <si>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</si>
  <si>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</si>
  <si>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</si>
  <si>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</si>
  <si>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</si>
  <si>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</si>
  <si>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</si>
  <si>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</si>
  <si>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</si>
  <si>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</si>
  <si>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</si>
  <si>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</si>
  <si>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</si>
  <si>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</si>
  <si>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</si>
  <si>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</si>
  <si>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</si>
  <si>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</si>
  <si>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</si>
  <si>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</si>
  <si>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</si>
  <si>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</si>
  <si>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</si>
  <si>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</si>
  <si>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</si>
  <si>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</si>
  <si>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</si>
  <si>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</si>
  <si>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</si>
  <si>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</si>
  <si>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</si>
  <si>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</si>
  <si>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</si>
  <si>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</si>
  <si>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</si>
  <si>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</si>
  <si>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</si>
  <si>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</si>
  <si>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</si>
  <si>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</si>
  <si>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</si>
  <si>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</si>
  <si>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</si>
  <si>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</si>
  <si>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</si>
  <si>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</si>
  <si>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</si>
  <si>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</si>
  <si>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</si>
  <si>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</si>
  <si>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</si>
  <si>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</si>
  <si>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</si>
  <si>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</si>
  <si>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</si>
  <si>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</si>
  <si>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</si>
  <si>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</si>
  <si>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</si>
  <si>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</si>
  <si>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</si>
  <si>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</si>
  <si>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</si>
  <si>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</si>
  <si>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</si>
  <si>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</si>
  <si>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</si>
  <si>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</si>
  <si>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</si>
  <si>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</si>
  <si>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</si>
  <si>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</si>
  <si>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</si>
  <si>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</si>
  <si>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</si>
  <si>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</si>
  <si>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</si>
  <si>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</si>
  <si>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</si>
  <si>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</si>
  <si>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</si>
  <si>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</si>
  <si>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</si>
  <si>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</si>
  <si>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</si>
  <si>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</si>
  <si>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</si>
  <si>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</si>
  <si>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</si>
  <si>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</si>
  <si>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</si>
  <si>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</si>
  <si>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</si>
  <si>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</si>
  <si>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</si>
  <si>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</si>
  <si>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2027</t>
    <phoneticPr fontId="1"/>
  </si>
  <si>
    <t>2026</t>
    <phoneticPr fontId="1"/>
  </si>
  <si>
    <t>2025</t>
    <phoneticPr fontId="1"/>
  </si>
  <si>
    <t>外枠</t>
    <rPh sb="0" eb="2">
      <t>ソトワク</t>
    </rPh>
    <phoneticPr fontId="1"/>
  </si>
  <si>
    <t>太い外枠</t>
    <rPh sb="0" eb="1">
      <t>フト</t>
    </rPh>
    <rPh sb="2" eb="4">
      <t>ソトワク</t>
    </rPh>
    <phoneticPr fontId="1"/>
  </si>
  <si>
    <t>下二重線</t>
    <rPh sb="0" eb="1">
      <t>シタ</t>
    </rPh>
    <rPh sb="1" eb="4">
      <t>ニジュウセン</t>
    </rPh>
    <phoneticPr fontId="1"/>
  </si>
  <si>
    <t>赤い罫線</t>
    <rPh sb="0" eb="1">
      <t>アカ</t>
    </rPh>
    <rPh sb="2" eb="4">
      <t>ケイセン</t>
    </rPh>
    <phoneticPr fontId="1"/>
  </si>
  <si>
    <t>点線1</t>
    <rPh sb="0" eb="2">
      <t>テンセン</t>
    </rPh>
    <phoneticPr fontId="1"/>
  </si>
  <si>
    <t>点線2</t>
    <phoneticPr fontId="1"/>
  </si>
  <si>
    <t>破線1</t>
    <rPh sb="0" eb="2">
      <t>ハセン</t>
    </rPh>
    <phoneticPr fontId="1"/>
  </si>
  <si>
    <t>破線2</t>
    <rPh sb="0" eb="2">
      <t>ハセン</t>
    </rPh>
    <phoneticPr fontId="1"/>
  </si>
  <si>
    <t>破線3</t>
    <phoneticPr fontId="1"/>
  </si>
  <si>
    <t>太い破線1</t>
    <rPh sb="0" eb="1">
      <t>フト</t>
    </rPh>
    <rPh sb="2" eb="4">
      <t>ハセン</t>
    </rPh>
    <phoneticPr fontId="1"/>
  </si>
  <si>
    <t>太い破線2</t>
    <phoneticPr fontId="1"/>
  </si>
  <si>
    <t>太い破線3</t>
    <phoneticPr fontId="1"/>
  </si>
  <si>
    <t>太い破線4</t>
    <phoneticPr fontId="1"/>
  </si>
  <si>
    <t>もっと太い外枠</t>
    <rPh sb="3" eb="4">
      <t>フト</t>
    </rPh>
    <rPh sb="5" eb="7">
      <t>ソトワク</t>
    </rPh>
    <phoneticPr fontId="1"/>
  </si>
  <si>
    <t>左上-右下</t>
    <rPh sb="0" eb="1">
      <t>ヒダリ</t>
    </rPh>
    <rPh sb="1" eb="2">
      <t>ウエ</t>
    </rPh>
    <rPh sb="3" eb="5">
      <t>ミギシタ</t>
    </rPh>
    <phoneticPr fontId="1"/>
  </si>
  <si>
    <t>左下-右上</t>
    <rPh sb="0" eb="2">
      <t>ヒダリシタ</t>
    </rPh>
    <rPh sb="3" eb="5">
      <t>ミギウエ</t>
    </rPh>
    <phoneticPr fontId="1"/>
  </si>
  <si>
    <t>二重対角線</t>
    <rPh sb="0" eb="5">
      <t>ニジュウタイカクセン</t>
    </rPh>
    <phoneticPr fontId="1"/>
  </si>
  <si>
    <t>格子</t>
    <rPh sb="0" eb="2">
      <t>コウシ</t>
    </rPh>
    <phoneticPr fontId="1"/>
  </si>
  <si>
    <t>2x2の外枠</t>
    <rPh sb="4" eb="6">
      <t>ソトワク</t>
    </rPh>
    <phoneticPr fontId="1"/>
  </si>
  <si>
    <t>結合セルの外枠</t>
    <rPh sb="0" eb="2">
      <t>ケツゴウ</t>
    </rPh>
    <rPh sb="5" eb="7">
      <t>ソトワク</t>
    </rPh>
    <phoneticPr fontId="1"/>
  </si>
  <si>
    <t>全部盛り</t>
    <rPh sb="0" eb="2">
      <t>ゼンブ</t>
    </rPh>
    <rPh sb="2" eb="3">
      <t>ザカ</t>
    </rPh>
    <phoneticPr fontId="1"/>
  </si>
  <si>
    <t>結合セルの全部盛り</t>
    <rPh sb="0" eb="2">
      <t>ケツゴウ</t>
    </rPh>
    <rPh sb="5" eb="8">
      <t>ゼンブモ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</si>
</sst>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歳&quot;"/>
    <numFmt numFmtId="177" formatCode="0&quot;㎝&quot;"/>
    <numFmt numFmtId="178" formatCode="0&quot;㎏&quot;"/>
    <numFmt numFmtId="179" formatCode="0&quot;コ&quot;&quot;メ&quot;&quot;ン&quot;&quot;ト&quot;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dotted">
        <color rgb="FFFF0000"/>
      </bottom>
      <diagonal/>
    </border>
    <border>
      <left/>
      <right/>
      <top/>
      <bottom style="dashDotDot">
        <color auto="1"/>
      </bottom>
      <diagonal/>
    </border>
    <border>
      <left/>
      <right/>
      <top/>
      <bottom style="dashDot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DashDot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/>
      <top/>
      <bottom style="mediumDashed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 diagonalDown="1">
      <left/>
      <right/>
      <top/>
      <bottom/>
      <diagonal style="thin">
        <color auto="1"/>
      </diagonal>
    </border>
    <border diagonalUp="1">
      <left/>
      <right/>
      <top/>
      <bottom/>
      <diagonal style="thin">
        <color auto="1"/>
      </diagonal>
    </border>
    <border diagonalUp="1" diagonalDown="1">
      <left/>
      <right/>
      <top/>
      <bottom/>
      <diagonal style="double">
        <color auto="1"/>
      </diagonal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Up="1"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3" borderId="0" xfId="0" applyFill="1"/>
    <xf numFmtId="0" fontId="0" fillId="4" borderId="0" xfId="0" applyFill="1"/>
    <xf numFmtId="176" fontId="0" fillId="2" borderId="1" xfId="0" applyNumberFormat="1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0" fontId="0" fillId="0" borderId="8" xfId="0" applyBorder="1"/>
    <xf numFmtId="0" fontId="0" fillId="0" borderId="10" xfId="0" applyBorder="1"/>
    <xf numFmtId="179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5" xfId="0" applyBorder="1"/>
    <xf numFmtId="0" fontId="0" fillId="0" borderId="7" xfId="0" applyBorder="1"/>
    <xf numFmtId="0" fontId="0" fillId="0" borderId="30" xfId="0" applyBorder="1"/>
    <xf numFmtId="0" fontId="0" fillId="5" borderId="0" xfId="0" applyFill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9" xfId="0" applyBorder="1"/>
    <xf numFmtId="0" fontId="0" fillId="0" borderId="2" xfId="0" applyBorder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theme" Target="theme/theme1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creativecommons.org/licenses/by-sa/3.0/" TargetMode="External"/><Relationship Id="rId7" Type="http://schemas.openxmlformats.org/officeDocument/2006/relationships/hyperlink" Target="https://pixnio.com/ja/media/ja-2267821" TargetMode="External"/><Relationship Id="rId2" Type="http://schemas.openxmlformats.org/officeDocument/2006/relationships/hyperlink" Target="https://www.flickr.com/photos/71481771@N00/155686941" TargetMode="External"/><Relationship Id="rId1" Type="http://schemas.openxmlformats.org/officeDocument/2006/relationships/image" Target="../media/image2.jpg"/><Relationship Id="rId6" Type="http://schemas.openxmlformats.org/officeDocument/2006/relationships/image" Target="../media/image4.jpeg"/><Relationship Id="rId5" Type="http://schemas.openxmlformats.org/officeDocument/2006/relationships/hyperlink" Target="https://pixnio.com/ja/%E5%8B%95%E7%89%A9/%E3%83%AA%E3%82%B9/%E3%83%AA%E3%82%B9-%E3%82%AD%E3%83%84%E3%83%8D%E3%83%AA%E3%82%B9-%E6%A8%B9%E3%83%AA%E3%82%B9-%E9%BD%A7%E6%AD%AF%E5%8B%95%E7%89%A9-%E9%87%8E%E7%94%9F%E5%8B%95%E7%89%A9-%E5%8B%95%E7%89%A9" TargetMode="External"/><Relationship Id="rId4" Type="http://schemas.openxmlformats.org/officeDocument/2006/relationships/image" Target="../media/image3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g"/><Relationship Id="rId2" Type="http://schemas.openxmlformats.org/officeDocument/2006/relationships/image" Target="../media/image7.gif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  <a:endParaRPr kumimoji="1" lang="en-US" altLang="ja-JP" sz="1100"/>
        </a:p>
        <a:p>
          <a:pPr algn="ctr"/>
          <a:r>
            <a:rPr kumimoji="1" lang="ja-JP" altLang="en-US" sz="1100"/>
            <a:t>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  <a:endParaRPr kumimoji="1" lang="en-US" altLang="ja-JP" sz="1100"/>
          </a:p>
          <a:p>
            <a:pPr algn="ctr"/>
            <a:r>
              <a:rPr kumimoji="1" lang="en-US" altLang="ja-JP" sz="1100"/>
              <a:t>※</a:t>
            </a:r>
            <a:r>
              <a:rPr kumimoji="1" lang="ja-JP" altLang="en-US" sz="1100"/>
              <a:t>コメント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２段目＋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228600</xdr:colOff>
      <xdr:row>22</xdr:row>
      <xdr:rowOff>168324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2BC8F36-36DF-8479-577D-7F1B663D5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85800" y="238125"/>
          <a:ext cx="7772400" cy="516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oneCellAnchor>
    <xdr:from>
      <xdr:col>1</xdr:col>
      <xdr:colOff>0</xdr:colOff>
      <xdr:row>22</xdr:row>
      <xdr:rowOff>168324</xdr:rowOff>
    </xdr:from>
    <xdr:ext cx="7772400" cy="2855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D2CCD3A-4C37-3101-4974-E0B3815A9424}"/>
            </a:ext>
          </a:extLst>
        </xdr:cNvPr>
        <xdr:cNvSpPr txBox="1"/>
      </xdr:nvSpPr>
      <xdr:spPr>
        <a:xfrm>
          <a:off x="685800" y="5407074"/>
          <a:ext cx="7772400" cy="285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ja-JP" altLang="en-US" sz="900">
              <a:hlinkClick xmlns:r="http://schemas.openxmlformats.org/officeDocument/2006/relationships" r:id="rId2" tooltip="https://www.flickr.com/photos/71481771@N00/155686941"/>
            </a:rPr>
            <a:t>この写真</a:t>
          </a:r>
          <a:r>
            <a:rPr lang="ja-JP" altLang="en-US" sz="900"/>
            <a:t> の作成者 不明な作成者 は </a:t>
          </a:r>
          <a:r>
            <a:rPr lang="ja-JP" altLang="en-US" sz="900">
              <a:hlinkClick xmlns:r="http://schemas.openxmlformats.org/officeDocument/2006/relationships" r:id="rId3" tooltip="https://creativecommons.org/licenses/by-sa/3.0/"/>
            </a:rPr>
            <a:t>CC BY-SA</a:t>
          </a:r>
          <a:r>
            <a:rPr lang="ja-JP" altLang="en-US" sz="900"/>
            <a:t> のライセンスを許諾されています</a:t>
          </a:r>
        </a:p>
      </xdr:txBody>
    </xdr:sp>
    <xdr:clientData/>
  </xdr:oneCellAnchor>
  <xdr:twoCellAnchor editAs="oneCell">
    <xdr:from>
      <xdr:col>13</xdr:col>
      <xdr:colOff>9525</xdr:colOff>
      <xdr:row>1</xdr:row>
      <xdr:rowOff>19050</xdr:rowOff>
    </xdr:from>
    <xdr:to>
      <xdr:col>21</xdr:col>
      <xdr:colOff>9525</xdr:colOff>
      <xdr:row>16</xdr:row>
      <xdr:rowOff>104775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5F762BE-E4AE-564C-D334-A526643D9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924925" y="257175"/>
          <a:ext cx="5486400" cy="36576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18</xdr:col>
      <xdr:colOff>228600</xdr:colOff>
      <xdr:row>28</xdr:row>
      <xdr:rowOff>57150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E519C2B0-AEE6-F467-D8A4-842E5D9B3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8915400" y="4286250"/>
          <a:ext cx="3657600" cy="2438400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6</xdr:col>
      <xdr:colOff>248163</xdr:colOff>
      <xdr:row>36</xdr:row>
      <xdr:rowOff>200352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BA72E05-B428-CA5D-4497-E687115FA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6429375"/>
          <a:ext cx="3677163" cy="2343477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2</xdr:row>
      <xdr:rowOff>180975</xdr:rowOff>
    </xdr:from>
    <xdr:to>
      <xdr:col>12</xdr:col>
      <xdr:colOff>113079</xdr:colOff>
      <xdr:row>9</xdr:row>
      <xdr:rowOff>190500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3103C2D-BBD3-7B8C-F9B0-8848FD318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84" t="20670" r="76617" b="66115"/>
        <a:stretch>
          <a:fillRect/>
        </a:stretch>
      </xdr:blipFill>
      <xdr:spPr>
        <a:xfrm>
          <a:off x="3743325" y="657225"/>
          <a:ext cx="4599354" cy="16764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3</xdr:row>
      <xdr:rowOff>190500</xdr:rowOff>
    </xdr:from>
    <xdr:to>
      <xdr:col>4</xdr:col>
      <xdr:colOff>57150</xdr:colOff>
      <xdr:row>6</xdr:row>
      <xdr:rowOff>209551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9501CA5-97EB-F3BA-82CA-53D9D460A9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30" t="27544" r="51741" b="46355"/>
        <a:stretch>
          <a:fillRect/>
        </a:stretch>
      </xdr:blipFill>
      <xdr:spPr>
        <a:xfrm>
          <a:off x="1257300" y="904875"/>
          <a:ext cx="1543050" cy="733426"/>
        </a:xfrm>
        <a:prstGeom prst="rect">
          <a:avLst/>
        </a:prstGeom>
      </xdr:spPr>
    </xdr:pic>
    <xdr:clientData/>
  </xdr:twoCellAnchor>
  <xdr:twoCellAnchor editAs="oneCell">
    <xdr:from>
      <xdr:col>9</xdr:col>
      <xdr:colOff>609600</xdr:colOff>
      <xdr:row>12</xdr:row>
      <xdr:rowOff>28575</xdr:rowOff>
    </xdr:from>
    <xdr:to>
      <xdr:col>11</xdr:col>
      <xdr:colOff>647700</xdr:colOff>
      <xdr:row>14</xdr:row>
      <xdr:rowOff>95250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65CD2067-86A8-5AAC-FE8B-FA8618988A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83" t="37798" r="50088" b="42880"/>
        <a:stretch>
          <a:fillRect/>
        </a:stretch>
      </xdr:blipFill>
      <xdr:spPr>
        <a:xfrm>
          <a:off x="6781800" y="2886075"/>
          <a:ext cx="1409700" cy="542925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5</xdr:row>
      <xdr:rowOff>95250</xdr:rowOff>
    </xdr:from>
    <xdr:to>
      <xdr:col>15</xdr:col>
      <xdr:colOff>361950</xdr:colOff>
      <xdr:row>6</xdr:row>
      <xdr:rowOff>228600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5B809F2-4E9C-6414-22DE-F46D181202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69" t="14827" r="67199" b="71958"/>
        <a:stretch>
          <a:fillRect/>
        </a:stretch>
      </xdr:blipFill>
      <xdr:spPr>
        <a:xfrm>
          <a:off x="9201150" y="1285875"/>
          <a:ext cx="1447800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457199</xdr:colOff>
      <xdr:row>13</xdr:row>
      <xdr:rowOff>28575</xdr:rowOff>
    </xdr:from>
    <xdr:to>
      <xdr:col>5</xdr:col>
      <xdr:colOff>171450</xdr:colOff>
      <xdr:row>15</xdr:row>
      <xdr:rowOff>94242</xdr:rowOff>
    </xdr:to>
    <xdr:pic>
      <xdr:nvPicPr>
        <xdr:cNvPr id="11" name="グラフィックス 10">
          <a:extLst>
            <a:ext uri="{FF2B5EF4-FFF2-40B4-BE49-F238E27FC236}">
              <a16:creationId xmlns:a16="http://schemas.microsoft.com/office/drawing/2014/main" id="{6B856561-4480-EB1D-E573-46BF38B3F7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l="18001" t="32004" r="18249" b="28996"/>
        <a:stretch>
          <a:fillRect/>
        </a:stretch>
      </xdr:blipFill>
      <xdr:spPr>
        <a:xfrm>
          <a:off x="1828799" y="3124200"/>
          <a:ext cx="1771651" cy="5419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57" t="s">
        <v>84</v>
      </c>
      <c r="D17" s="58"/>
      <c r="E17" s="58"/>
    </row>
    <row r="18" spans="3:5">
      <c r="C18" s="5" t="s">
        <v>78</v>
      </c>
      <c r="D18" s="5" t="s">
        <v>81</v>
      </c>
      <c r="E18" s="7">
        <v>46166</v>
      </c>
    </row>
    <row r="19" spans="3:5">
      <c r="C19" s="5" t="s">
        <v>79</v>
      </c>
      <c r="D19" s="5" t="s">
        <v>82</v>
      </c>
      <c r="E19" s="7">
        <v>46167</v>
      </c>
    </row>
    <row r="20" spans="3:5">
      <c r="C20" s="5" t="s">
        <v>80</v>
      </c>
      <c r="D20" s="5" t="s">
        <v>83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showGridLines="0" topLeftCell="A2" zoomScale="145" zoomScaleNormal="145" workbookViewId="0">
      <selection activeCell="G19" sqref="G19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view="pageBreakPreview" zoomScale="60" zoomScaleNormal="100"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pageSetup paperSize="9" orientation="portrait" r:id="rId1"/>
  <headerFooter>
    <oddHeader>&amp;Cヘッダーにコメントを書いてみた</oddHeader>
    <oddFooter>&amp;Cフッターにもコメントを書いてみた</oddFooter>
  </headerFooter>
  <colBreaks count="1" manualBreakCount="1">
    <brk id="6" max="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/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view="pageBreakPreview" zoomScale="60" zoomScaleNormal="100" workbookViewId="0"/>
  </sheetViews>
  <sheetFormatPr defaultColWidth="3.125" defaultRowHeight="18.75"/>
  <cols>
    <col min="1" max="16384" width="3.125" style="4"/>
  </cols>
  <sheetData>
    <row r="3" spans="7:52">
      <c r="G3" s="59" t="s">
        <v>85</v>
      </c>
      <c r="H3" s="59"/>
      <c r="I3" s="59"/>
      <c r="J3" s="59"/>
      <c r="K3" s="59"/>
      <c r="L3" s="59"/>
      <c r="Q3" s="59" t="s">
        <v>86</v>
      </c>
      <c r="R3" s="59"/>
      <c r="S3" s="59"/>
      <c r="T3" s="59"/>
      <c r="U3" s="59"/>
      <c r="V3" s="59"/>
      <c r="AA3" s="59" t="s">
        <v>87</v>
      </c>
      <c r="AB3" s="59"/>
      <c r="AC3" s="59"/>
      <c r="AD3" s="59"/>
      <c r="AE3" s="59"/>
      <c r="AF3" s="59"/>
      <c r="AK3" s="59" t="s">
        <v>88</v>
      </c>
      <c r="AL3" s="59"/>
      <c r="AM3" s="59"/>
      <c r="AN3" s="59"/>
      <c r="AO3" s="59"/>
      <c r="AP3" s="59"/>
      <c r="AU3" s="59" t="s">
        <v>89</v>
      </c>
      <c r="AV3" s="59"/>
      <c r="AW3" s="59"/>
      <c r="AX3" s="59"/>
      <c r="AY3" s="59"/>
      <c r="AZ3" s="59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90</v>
      </c>
      <c r="S9" s="9"/>
      <c r="AC9" s="9"/>
      <c r="AM9" s="9"/>
      <c r="AW9" s="9"/>
    </row>
    <row r="10" spans="7:52">
      <c r="I10" s="9"/>
      <c r="S10" s="9"/>
      <c r="U10" s="4" t="s">
        <v>91</v>
      </c>
      <c r="AC10" s="9"/>
      <c r="AM10" s="9"/>
      <c r="AW10" s="9"/>
    </row>
    <row r="11" spans="7:52">
      <c r="I11" s="9"/>
      <c r="S11" s="9"/>
      <c r="AC11" s="9"/>
      <c r="AE11" s="4" t="s">
        <v>92</v>
      </c>
      <c r="AM11" s="9"/>
      <c r="AW11" s="9"/>
    </row>
    <row r="12" spans="7:52">
      <c r="I12" s="9"/>
      <c r="S12" s="9"/>
      <c r="AC12" s="9"/>
      <c r="AM12" s="9"/>
      <c r="AO12" s="4" t="s">
        <v>93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pageSetup paperSize="9" orientation="portrait" r:id="rId1"/>
  <rowBreaks count="1" manualBreakCount="1">
    <brk id="17" max="5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>
      <selection activeCell="C14" sqref="C14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94</v>
      </c>
      <c r="H14" s="4" t="str">
        <f t="shared" ref="H14:H17" si="1">IF(C14="コメント","〇","×")</f>
        <v>×</v>
      </c>
    </row>
    <row r="15" spans="3:8">
      <c r="C15" s="4" t="s">
        <v>95</v>
      </c>
      <c r="H15" s="4" t="str">
        <f t="shared" si="1"/>
        <v>×</v>
      </c>
    </row>
    <row r="16" spans="3:8">
      <c r="C16" s="4" t="s">
        <v>96</v>
      </c>
      <c r="H16" s="4" t="str">
        <f t="shared" si="1"/>
        <v>×</v>
      </c>
    </row>
    <row r="17" spans="3:8">
      <c r="C17" s="4" t="s">
        <v>97</v>
      </c>
      <c r="H17" s="4" t="str">
        <f t="shared" si="1"/>
        <v>×</v>
      </c>
    </row>
    <row r="18" spans="3:8">
      <c r="C18" s="4" t="s">
        <v>98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:E10"/>
  <sheetViews>
    <sheetView workbookViewId="0"/>
  </sheetViews>
  <sheetFormatPr defaultRowHeight="18.75"/>
  <cols>
    <col min="5" max="5" width="10" bestFit="1" customWidth="1"/>
  </cols>
  <sheetData>
    <row r="2" spans="2:5">
      <c r="B2" t="s">
        <v>26</v>
      </c>
    </row>
    <row r="6" spans="2:5">
      <c r="E6" s="36">
        <v>1</v>
      </c>
    </row>
    <row r="7" spans="2:5">
      <c r="E7" s="36">
        <v>2</v>
      </c>
    </row>
    <row r="8" spans="2:5">
      <c r="E8" s="36">
        <v>3</v>
      </c>
    </row>
    <row r="9" spans="2:5">
      <c r="E9" s="36">
        <v>4</v>
      </c>
    </row>
    <row r="10" spans="2:5">
      <c r="E10" s="36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6A19C-C16C-4EE1-B73D-766618CD9B21}">
  <dimension ref="B2:K15"/>
  <sheetViews>
    <sheetView showGridLines="0" zoomScale="160" zoomScaleNormal="160" workbookViewId="0"/>
  </sheetViews>
  <sheetFormatPr defaultRowHeight="18.75"/>
  <cols>
    <col min="6" max="6" width="15.125" bestFit="1" customWidth="1"/>
    <col min="8" max="24" width="3.125" customWidth="1"/>
  </cols>
  <sheetData>
    <row r="2" spans="2:11" ht="19.5" thickBot="1">
      <c r="B2" s="10" t="s">
        <v>171</v>
      </c>
      <c r="D2" s="42" t="s">
        <v>177</v>
      </c>
      <c r="F2" s="48" t="s">
        <v>183</v>
      </c>
      <c r="I2" s="10"/>
      <c r="J2" s="10"/>
      <c r="K2" t="s">
        <v>188</v>
      </c>
    </row>
    <row r="3" spans="2:11" ht="19.5" thickBot="1">
      <c r="I3" s="10"/>
      <c r="J3" s="10"/>
    </row>
    <row r="4" spans="2:11" ht="20.25" thickTop="1" thickBot="1">
      <c r="B4" s="37" t="s">
        <v>172</v>
      </c>
      <c r="D4" s="43" t="s">
        <v>178</v>
      </c>
      <c r="F4" s="49" t="s">
        <v>184</v>
      </c>
    </row>
    <row r="5" spans="2:11">
      <c r="I5" s="53"/>
      <c r="J5" s="54"/>
      <c r="K5" t="s">
        <v>189</v>
      </c>
    </row>
    <row r="6" spans="2:11" ht="19.5" thickBot="1">
      <c r="B6" s="38" t="s">
        <v>173</v>
      </c>
      <c r="D6" s="44" t="s">
        <v>179</v>
      </c>
      <c r="F6" s="50" t="s">
        <v>185</v>
      </c>
      <c r="I6" s="34"/>
      <c r="J6" s="35"/>
    </row>
    <row r="7" spans="2:11" ht="19.5" thickTop="1"/>
    <row r="8" spans="2:11" ht="19.5" thickBot="1">
      <c r="B8" s="39" t="s">
        <v>174</v>
      </c>
      <c r="D8" s="45" t="s">
        <v>180</v>
      </c>
      <c r="F8" s="51" t="s">
        <v>186</v>
      </c>
      <c r="I8" s="60"/>
      <c r="J8" s="61"/>
      <c r="K8" t="s">
        <v>190</v>
      </c>
    </row>
    <row r="9" spans="2:11">
      <c r="I9" s="62"/>
      <c r="J9" s="63"/>
    </row>
    <row r="10" spans="2:11" ht="19.5" thickBot="1">
      <c r="B10" s="40" t="s">
        <v>175</v>
      </c>
      <c r="D10" s="46" t="s">
        <v>181</v>
      </c>
      <c r="F10" s="52" t="s">
        <v>187</v>
      </c>
    </row>
    <row r="11" spans="2:11">
      <c r="I11" s="55"/>
      <c r="J11" s="55"/>
      <c r="K11" t="s">
        <v>191</v>
      </c>
    </row>
    <row r="12" spans="2:11" ht="19.5" thickBot="1">
      <c r="B12" s="41" t="s">
        <v>176</v>
      </c>
      <c r="D12" s="47" t="s">
        <v>182</v>
      </c>
      <c r="I12" s="55"/>
      <c r="J12" s="55"/>
    </row>
    <row r="14" spans="2:11">
      <c r="I14" s="64"/>
      <c r="J14" s="65"/>
      <c r="K14" t="s">
        <v>192</v>
      </c>
    </row>
    <row r="15" spans="2:11">
      <c r="I15" s="66"/>
      <c r="J15" s="67"/>
    </row>
  </sheetData>
  <mergeCells count="2">
    <mergeCell ref="I8:J9"/>
    <mergeCell ref="I14:J15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F5" sqref="F5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31">
        <v>33</v>
      </c>
      <c r="E4" s="32">
        <v>178</v>
      </c>
      <c r="F4" s="33">
        <v>75</v>
      </c>
    </row>
    <row r="5" spans="3:6">
      <c r="C5" s="5" t="s">
        <v>29</v>
      </c>
      <c r="D5" s="31">
        <v>24</v>
      </c>
      <c r="E5" s="32">
        <v>155</v>
      </c>
      <c r="F5" s="33">
        <v>58</v>
      </c>
    </row>
    <row r="6" spans="3:6">
      <c r="C6" s="5" t="s">
        <v>30</v>
      </c>
      <c r="D6" s="31">
        <v>45</v>
      </c>
      <c r="E6" s="32">
        <v>167</v>
      </c>
      <c r="F6" s="33">
        <v>55</v>
      </c>
    </row>
    <row r="7" spans="3:6">
      <c r="C7" s="5" t="s">
        <v>31</v>
      </c>
      <c r="D7" s="31">
        <v>57</v>
      </c>
      <c r="E7" s="32">
        <v>160</v>
      </c>
      <c r="F7" s="33">
        <v>48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>
      <selection activeCell="T15" sqref="T15:W15"/>
    </sheetView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57" t="s">
        <v>27</v>
      </c>
      <c r="E4" s="58"/>
      <c r="F4" s="58"/>
      <c r="G4" s="58"/>
      <c r="H4" s="68" t="s">
        <v>47</v>
      </c>
      <c r="I4" s="71"/>
      <c r="J4" s="71"/>
      <c r="K4" s="71"/>
      <c r="L4" s="71"/>
      <c r="M4" s="71"/>
      <c r="N4" s="71"/>
      <c r="O4" s="72"/>
      <c r="P4" s="68" t="s">
        <v>48</v>
      </c>
      <c r="Q4" s="69"/>
      <c r="R4" s="69"/>
      <c r="S4" s="70"/>
      <c r="T4" s="68" t="s">
        <v>49</v>
      </c>
      <c r="U4" s="69"/>
      <c r="V4" s="69"/>
      <c r="W4" s="70"/>
      <c r="AA4" s="4" t="s">
        <v>54</v>
      </c>
    </row>
    <row r="5" spans="3:27">
      <c r="C5" s="5">
        <f>ROW()-4</f>
        <v>1</v>
      </c>
      <c r="D5" s="57" t="s">
        <v>50</v>
      </c>
      <c r="E5" s="58"/>
      <c r="F5" s="58"/>
      <c r="G5" s="58"/>
      <c r="H5" s="68" t="s">
        <v>66</v>
      </c>
      <c r="I5" s="71"/>
      <c r="J5" s="71"/>
      <c r="K5" s="71"/>
      <c r="L5" s="71"/>
      <c r="M5" s="71"/>
      <c r="N5" s="71"/>
      <c r="O5" s="72"/>
      <c r="P5" s="68" t="s">
        <v>55</v>
      </c>
      <c r="Q5" s="69"/>
      <c r="R5" s="69"/>
      <c r="S5" s="70"/>
      <c r="T5" s="68" t="s">
        <v>63</v>
      </c>
      <c r="U5" s="69"/>
      <c r="V5" s="69"/>
      <c r="W5" s="70"/>
      <c r="AA5" s="4" t="s">
        <v>56</v>
      </c>
    </row>
    <row r="6" spans="3:27">
      <c r="C6" s="5">
        <f t="shared" ref="C6:C15" si="0">ROW()-4</f>
        <v>2</v>
      </c>
      <c r="D6" s="57" t="s">
        <v>51</v>
      </c>
      <c r="E6" s="58"/>
      <c r="F6" s="58"/>
      <c r="G6" s="58"/>
      <c r="H6" s="68" t="s">
        <v>65</v>
      </c>
      <c r="I6" s="71"/>
      <c r="J6" s="71"/>
      <c r="K6" s="71"/>
      <c r="L6" s="71"/>
      <c r="M6" s="71"/>
      <c r="N6" s="71"/>
      <c r="O6" s="72"/>
      <c r="P6" s="68" t="s">
        <v>53</v>
      </c>
      <c r="Q6" s="69"/>
      <c r="R6" s="69"/>
      <c r="S6" s="70"/>
      <c r="T6" s="68" t="s">
        <v>62</v>
      </c>
      <c r="U6" s="69"/>
      <c r="V6" s="69"/>
      <c r="W6" s="70"/>
      <c r="AA6" s="4" t="s">
        <v>58</v>
      </c>
    </row>
    <row r="7" spans="3:27">
      <c r="C7" s="5">
        <f t="shared" si="0"/>
        <v>3</v>
      </c>
      <c r="D7" s="57" t="s">
        <v>51</v>
      </c>
      <c r="E7" s="58"/>
      <c r="F7" s="58"/>
      <c r="G7" s="58"/>
      <c r="H7" s="68" t="s">
        <v>67</v>
      </c>
      <c r="I7" s="71"/>
      <c r="J7" s="71"/>
      <c r="K7" s="71"/>
      <c r="L7" s="71"/>
      <c r="M7" s="71"/>
      <c r="N7" s="71"/>
      <c r="O7" s="72"/>
      <c r="P7" s="68" t="s">
        <v>57</v>
      </c>
      <c r="Q7" s="69"/>
      <c r="R7" s="69"/>
      <c r="S7" s="70"/>
      <c r="T7" s="73" t="s">
        <v>77</v>
      </c>
      <c r="U7" s="74"/>
      <c r="V7" s="74"/>
      <c r="W7" s="75"/>
    </row>
    <row r="8" spans="3:27">
      <c r="C8" s="5">
        <f t="shared" si="0"/>
        <v>4</v>
      </c>
      <c r="D8" s="57" t="s">
        <v>52</v>
      </c>
      <c r="E8" s="58"/>
      <c r="F8" s="58"/>
      <c r="G8" s="58"/>
      <c r="H8" s="68" t="s">
        <v>68</v>
      </c>
      <c r="I8" s="71"/>
      <c r="J8" s="71"/>
      <c r="K8" s="71"/>
      <c r="L8" s="71"/>
      <c r="M8" s="71"/>
      <c r="N8" s="71"/>
      <c r="O8" s="72"/>
      <c r="P8" s="68" t="s">
        <v>57</v>
      </c>
      <c r="Q8" s="69"/>
      <c r="R8" s="69"/>
      <c r="S8" s="70"/>
      <c r="T8" s="62"/>
      <c r="U8" s="76"/>
      <c r="V8" s="76"/>
      <c r="W8" s="63"/>
    </row>
    <row r="9" spans="3:27">
      <c r="C9" s="5">
        <f t="shared" si="0"/>
        <v>5</v>
      </c>
      <c r="D9" s="57" t="s">
        <v>50</v>
      </c>
      <c r="E9" s="58"/>
      <c r="F9" s="58"/>
      <c r="G9" s="58"/>
      <c r="H9" s="68" t="s">
        <v>69</v>
      </c>
      <c r="I9" s="71"/>
      <c r="J9" s="71"/>
      <c r="K9" s="71"/>
      <c r="L9" s="71"/>
      <c r="M9" s="71"/>
      <c r="N9" s="71"/>
      <c r="O9" s="72"/>
      <c r="P9" s="68" t="s">
        <v>53</v>
      </c>
      <c r="Q9" s="69"/>
      <c r="R9" s="69"/>
      <c r="S9" s="70"/>
      <c r="T9" s="68" t="s">
        <v>61</v>
      </c>
      <c r="U9" s="69"/>
      <c r="V9" s="69"/>
      <c r="W9" s="70"/>
    </row>
    <row r="10" spans="3:27">
      <c r="C10" s="5">
        <f t="shared" si="0"/>
        <v>6</v>
      </c>
      <c r="D10" s="57" t="s">
        <v>51</v>
      </c>
      <c r="E10" s="58"/>
      <c r="F10" s="58"/>
      <c r="G10" s="58"/>
      <c r="H10" s="68" t="s">
        <v>70</v>
      </c>
      <c r="I10" s="71"/>
      <c r="J10" s="71"/>
      <c r="K10" s="71"/>
      <c r="L10" s="71"/>
      <c r="M10" s="71"/>
      <c r="N10" s="71"/>
      <c r="O10" s="72"/>
      <c r="P10" s="68" t="s">
        <v>55</v>
      </c>
      <c r="Q10" s="69"/>
      <c r="R10" s="69"/>
      <c r="S10" s="70"/>
      <c r="T10" s="68" t="s">
        <v>64</v>
      </c>
      <c r="U10" s="69"/>
      <c r="V10" s="69"/>
      <c r="W10" s="70"/>
    </row>
    <row r="11" spans="3:27">
      <c r="C11" s="5">
        <f t="shared" si="0"/>
        <v>7</v>
      </c>
      <c r="D11" s="57" t="s">
        <v>50</v>
      </c>
      <c r="E11" s="58"/>
      <c r="F11" s="58"/>
      <c r="G11" s="58"/>
      <c r="H11" s="68" t="s">
        <v>71</v>
      </c>
      <c r="I11" s="71"/>
      <c r="J11" s="71"/>
      <c r="K11" s="71"/>
      <c r="L11" s="71"/>
      <c r="M11" s="71"/>
      <c r="N11" s="71"/>
      <c r="O11" s="72"/>
      <c r="P11" s="68" t="s">
        <v>55</v>
      </c>
      <c r="Q11" s="69"/>
      <c r="R11" s="69"/>
      <c r="S11" s="70"/>
      <c r="T11" s="68"/>
      <c r="U11" s="69"/>
      <c r="V11" s="69"/>
      <c r="W11" s="70"/>
    </row>
    <row r="12" spans="3:27">
      <c r="C12" s="5">
        <f t="shared" si="0"/>
        <v>8</v>
      </c>
      <c r="D12" s="57" t="s">
        <v>52</v>
      </c>
      <c r="E12" s="58"/>
      <c r="F12" s="58"/>
      <c r="G12" s="58"/>
      <c r="H12" s="68" t="s">
        <v>72</v>
      </c>
      <c r="I12" s="71"/>
      <c r="J12" s="71"/>
      <c r="K12" s="71"/>
      <c r="L12" s="71"/>
      <c r="M12" s="71"/>
      <c r="N12" s="71"/>
      <c r="O12" s="72"/>
      <c r="P12" s="68" t="s">
        <v>57</v>
      </c>
      <c r="Q12" s="69"/>
      <c r="R12" s="69"/>
      <c r="S12" s="70"/>
      <c r="T12" s="68" t="s">
        <v>59</v>
      </c>
      <c r="U12" s="69"/>
      <c r="V12" s="69"/>
      <c r="W12" s="70"/>
    </row>
    <row r="13" spans="3:27">
      <c r="C13" s="5">
        <f t="shared" si="0"/>
        <v>9</v>
      </c>
      <c r="D13" s="57" t="s">
        <v>51</v>
      </c>
      <c r="E13" s="58"/>
      <c r="F13" s="58"/>
      <c r="G13" s="58"/>
      <c r="H13" s="68" t="s">
        <v>73</v>
      </c>
      <c r="I13" s="71"/>
      <c r="J13" s="71"/>
      <c r="K13" s="71"/>
      <c r="L13" s="71"/>
      <c r="M13" s="71"/>
      <c r="N13" s="71"/>
      <c r="O13" s="72"/>
      <c r="P13" s="68" t="s">
        <v>53</v>
      </c>
      <c r="Q13" s="69"/>
      <c r="R13" s="69"/>
      <c r="S13" s="70"/>
      <c r="T13" s="68"/>
      <c r="U13" s="69"/>
      <c r="V13" s="69"/>
      <c r="W13" s="70"/>
    </row>
    <row r="14" spans="3:27">
      <c r="C14" s="5">
        <f t="shared" si="0"/>
        <v>10</v>
      </c>
      <c r="D14" s="57" t="s">
        <v>51</v>
      </c>
      <c r="E14" s="58"/>
      <c r="F14" s="58"/>
      <c r="G14" s="58"/>
      <c r="H14" s="68" t="s">
        <v>74</v>
      </c>
      <c r="I14" s="71"/>
      <c r="J14" s="71"/>
      <c r="K14" s="71"/>
      <c r="L14" s="71"/>
      <c r="M14" s="71"/>
      <c r="N14" s="71"/>
      <c r="O14" s="72"/>
      <c r="P14" s="68" t="s">
        <v>55</v>
      </c>
      <c r="Q14" s="69"/>
      <c r="R14" s="69"/>
      <c r="S14" s="70"/>
      <c r="T14" s="68" t="s">
        <v>63</v>
      </c>
      <c r="U14" s="69"/>
      <c r="V14" s="69"/>
      <c r="W14" s="70"/>
    </row>
    <row r="15" spans="3:27">
      <c r="C15" s="5">
        <f t="shared" si="0"/>
        <v>11</v>
      </c>
      <c r="D15" s="57" t="s">
        <v>50</v>
      </c>
      <c r="E15" s="58"/>
      <c r="F15" s="58"/>
      <c r="G15" s="58"/>
      <c r="H15" s="68" t="s">
        <v>75</v>
      </c>
      <c r="I15" s="71"/>
      <c r="J15" s="71"/>
      <c r="K15" s="71"/>
      <c r="L15" s="71"/>
      <c r="M15" s="71"/>
      <c r="N15" s="71"/>
      <c r="O15" s="72"/>
      <c r="P15" s="68" t="s">
        <v>57</v>
      </c>
      <c r="Q15" s="69"/>
      <c r="R15" s="69"/>
      <c r="S15" s="70"/>
      <c r="T15" s="68" t="s">
        <v>60</v>
      </c>
      <c r="U15" s="69"/>
      <c r="V15" s="69"/>
      <c r="W15" s="70"/>
    </row>
    <row r="17" spans="8:9">
      <c r="H17" s="4" t="s">
        <v>76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P14:S14"/>
    <mergeCell ref="T14:W14"/>
    <mergeCell ref="P15:S15"/>
    <mergeCell ref="T15:W15"/>
    <mergeCell ref="H14:O14"/>
    <mergeCell ref="H15:O15"/>
    <mergeCell ref="P12:S12"/>
    <mergeCell ref="T12:W12"/>
    <mergeCell ref="P13:S13"/>
    <mergeCell ref="T13:W13"/>
    <mergeCell ref="H12:O12"/>
    <mergeCell ref="H13:O13"/>
    <mergeCell ref="P10:S10"/>
    <mergeCell ref="T10:W10"/>
    <mergeCell ref="P11:S11"/>
    <mergeCell ref="T11:W11"/>
    <mergeCell ref="H10:O10"/>
    <mergeCell ref="H11:O11"/>
    <mergeCell ref="P8:S8"/>
    <mergeCell ref="P9:S9"/>
    <mergeCell ref="T9:W9"/>
    <mergeCell ref="H8:O8"/>
    <mergeCell ref="H9:O9"/>
    <mergeCell ref="T7:W8"/>
    <mergeCell ref="P6:S6"/>
    <mergeCell ref="T6:W6"/>
    <mergeCell ref="P7:S7"/>
    <mergeCell ref="H6:O6"/>
    <mergeCell ref="H7:O7"/>
    <mergeCell ref="P4:S4"/>
    <mergeCell ref="T4:W4"/>
    <mergeCell ref="P5:S5"/>
    <mergeCell ref="T5:W5"/>
    <mergeCell ref="H4:O4"/>
    <mergeCell ref="H5:O5"/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G7"/>
  <sheetViews>
    <sheetView workbookViewId="0">
      <selection activeCell="G2" sqref="G2"/>
    </sheetView>
  </sheetViews>
  <sheetFormatPr defaultRowHeight="18.75"/>
  <cols>
    <col min="1" max="6" width="9" style="4"/>
    <col min="7" max="7" width="9" style="30"/>
    <col min="8" max="16384" width="9" style="4"/>
  </cols>
  <sheetData>
    <row r="2" spans="2:7">
      <c r="B2" s="6" t="s">
        <v>99</v>
      </c>
    </row>
    <row r="4" spans="2:7">
      <c r="B4" s="6" t="str">
        <f>HYPERLINK("http://localhost:3000/issues/89")</f>
        <v>http://localhost:3000/issues/89</v>
      </c>
    </row>
    <row r="7" spans="2:7" s="29" customFormat="1">
      <c r="G7" s="30"/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tabSelected="1" view="pageBreakPreview" zoomScaleNormal="100" zoomScaleSheetLayoutView="100" workbookViewId="0">
      <selection activeCell="E9" sqref="E9"/>
    </sheetView>
  </sheetViews>
  <sheetFormatPr defaultRowHeight="18.75"/>
  <cols>
    <col min="5" max="5" width="10.25" bestFit="1" customWidth="1"/>
  </cols>
  <sheetData>
    <row r="1" spans="1:5">
      <c r="A1" t="s">
        <v>100</v>
      </c>
    </row>
    <row r="2" spans="1:5">
      <c r="B2" t="s">
        <v>101</v>
      </c>
    </row>
    <row r="3" spans="1:5">
      <c r="C3" t="s">
        <v>102</v>
      </c>
    </row>
    <row r="9" spans="1:5">
      <c r="E9" s="11">
        <f ca="1">現在日付</f>
        <v>46204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0" t="s">
        <v>104</v>
      </c>
      <c r="C2" s="10" t="s">
        <v>105</v>
      </c>
      <c r="D2" s="10" t="s">
        <v>106</v>
      </c>
      <c r="E2" s="10" t="s">
        <v>107</v>
      </c>
      <c r="F2" s="10" t="s">
        <v>108</v>
      </c>
      <c r="G2" s="10" t="s">
        <v>152</v>
      </c>
    </row>
    <row r="3" spans="2:7" hidden="1">
      <c r="B3" s="10">
        <v>1</v>
      </c>
      <c r="C3" s="10" t="s">
        <v>109</v>
      </c>
      <c r="D3" s="10" t="s">
        <v>114</v>
      </c>
      <c r="E3" s="10" t="s">
        <v>118</v>
      </c>
      <c r="F3" s="10" t="s">
        <v>122</v>
      </c>
      <c r="G3" s="10">
        <v>100</v>
      </c>
    </row>
    <row r="4" spans="2:7" hidden="1">
      <c r="B4" s="10">
        <v>2</v>
      </c>
      <c r="C4" s="10" t="s">
        <v>110</v>
      </c>
      <c r="D4" s="10" t="s">
        <v>115</v>
      </c>
      <c r="E4" s="10" t="s">
        <v>119</v>
      </c>
      <c r="F4" s="10" t="s">
        <v>123</v>
      </c>
      <c r="G4" s="10">
        <v>125</v>
      </c>
    </row>
    <row r="5" spans="2:7" hidden="1">
      <c r="B5" s="10">
        <v>3</v>
      </c>
      <c r="C5" s="10" t="s">
        <v>111</v>
      </c>
      <c r="D5" s="10" t="s">
        <v>114</v>
      </c>
      <c r="E5" s="10" t="s">
        <v>120</v>
      </c>
      <c r="F5" s="10" t="s">
        <v>124</v>
      </c>
      <c r="G5" s="10">
        <v>110</v>
      </c>
    </row>
    <row r="6" spans="2:7" hidden="1">
      <c r="B6" s="10">
        <v>4</v>
      </c>
      <c r="C6" s="10" t="s">
        <v>111</v>
      </c>
      <c r="D6" s="10" t="s">
        <v>116</v>
      </c>
      <c r="E6" s="10" t="s">
        <v>119</v>
      </c>
      <c r="F6" s="10" t="s">
        <v>125</v>
      </c>
      <c r="G6" s="10">
        <v>95</v>
      </c>
    </row>
    <row r="7" spans="2:7" hidden="1">
      <c r="B7" s="10">
        <v>5</v>
      </c>
      <c r="C7" s="10" t="s">
        <v>112</v>
      </c>
      <c r="D7" s="10" t="s">
        <v>117</v>
      </c>
      <c r="E7" s="10" t="s">
        <v>118</v>
      </c>
      <c r="F7" s="10" t="s">
        <v>126</v>
      </c>
      <c r="G7" s="10">
        <v>98</v>
      </c>
    </row>
    <row r="8" spans="2:7" hidden="1">
      <c r="B8" s="19">
        <v>6</v>
      </c>
      <c r="C8" s="19" t="s">
        <v>113</v>
      </c>
      <c r="D8" s="19" t="s">
        <v>117</v>
      </c>
      <c r="E8" s="19" t="s">
        <v>121</v>
      </c>
      <c r="F8" s="19" t="s">
        <v>127</v>
      </c>
      <c r="G8" s="19">
        <v>111</v>
      </c>
    </row>
    <row r="9" spans="2:7" hidden="1">
      <c r="B9" s="10">
        <v>7</v>
      </c>
      <c r="C9" s="10" t="s">
        <v>109</v>
      </c>
      <c r="D9" s="10" t="s">
        <v>116</v>
      </c>
      <c r="E9" s="10" t="s">
        <v>118</v>
      </c>
      <c r="F9" s="10" t="s">
        <v>128</v>
      </c>
      <c r="G9" s="10">
        <v>107</v>
      </c>
    </row>
    <row r="10" spans="2:7" hidden="1">
      <c r="B10" s="10">
        <v>8</v>
      </c>
      <c r="C10" s="20"/>
      <c r="D10" s="10" t="s">
        <v>130</v>
      </c>
      <c r="E10" s="10" t="s">
        <v>131</v>
      </c>
      <c r="F10" s="10" t="s">
        <v>132</v>
      </c>
      <c r="G10" s="20">
        <v>140</v>
      </c>
    </row>
    <row r="11" spans="2:7" hidden="1">
      <c r="B11" s="10">
        <v>9</v>
      </c>
      <c r="C11" s="10" t="s">
        <v>129</v>
      </c>
      <c r="D11" s="10" t="s">
        <v>116</v>
      </c>
      <c r="E11" s="10"/>
      <c r="F11" s="20" t="s">
        <v>133</v>
      </c>
      <c r="G11" s="10">
        <v>132</v>
      </c>
    </row>
    <row r="12" spans="2:7" hidden="1">
      <c r="B12" s="10">
        <v>10</v>
      </c>
      <c r="C12" s="10" t="s">
        <v>109</v>
      </c>
      <c r="D12" s="10" t="s">
        <v>115</v>
      </c>
      <c r="E12" s="10" t="s">
        <v>121</v>
      </c>
      <c r="F12" s="10" t="s">
        <v>156</v>
      </c>
      <c r="G12" s="10">
        <v>122</v>
      </c>
    </row>
    <row r="13" spans="2:7" hidden="1">
      <c r="B13" s="19">
        <v>11</v>
      </c>
      <c r="C13" s="19" t="s">
        <v>109</v>
      </c>
      <c r="D13" s="19" t="s">
        <v>116</v>
      </c>
      <c r="E13" s="19" t="s">
        <v>119</v>
      </c>
      <c r="F13" s="19"/>
      <c r="G13" s="19">
        <v>100</v>
      </c>
    </row>
    <row r="14" spans="2:7" hidden="1">
      <c r="B14" s="10">
        <v>12</v>
      </c>
      <c r="C14" s="10" t="s">
        <v>146</v>
      </c>
      <c r="D14" s="10" t="s">
        <v>114</v>
      </c>
      <c r="E14" s="10" t="s">
        <v>119</v>
      </c>
      <c r="F14" s="10" t="s">
        <v>125</v>
      </c>
      <c r="G14" s="10">
        <v>88</v>
      </c>
    </row>
    <row r="15" spans="2:7" hidden="1">
      <c r="B15" s="10">
        <v>13</v>
      </c>
      <c r="C15" s="10" t="s">
        <v>147</v>
      </c>
      <c r="D15" s="20" t="s">
        <v>153</v>
      </c>
      <c r="E15" s="10" t="s">
        <v>120</v>
      </c>
      <c r="F15" s="10" t="s">
        <v>125</v>
      </c>
      <c r="G15" s="10">
        <v>87</v>
      </c>
    </row>
    <row r="16" spans="2:7" hidden="1">
      <c r="B16" s="10">
        <v>14</v>
      </c>
      <c r="C16" s="10" t="s">
        <v>148</v>
      </c>
      <c r="D16" s="10" t="s">
        <v>130</v>
      </c>
      <c r="E16" s="10" t="s">
        <v>118</v>
      </c>
      <c r="F16" s="10" t="s">
        <v>123</v>
      </c>
      <c r="G16" s="10">
        <v>90</v>
      </c>
    </row>
    <row r="17" spans="2:7" hidden="1">
      <c r="B17" s="10">
        <v>15</v>
      </c>
      <c r="C17" s="10" t="s">
        <v>149</v>
      </c>
      <c r="D17" s="10" t="s">
        <v>116</v>
      </c>
      <c r="E17" s="10" t="s">
        <v>118</v>
      </c>
      <c r="F17" s="10" t="s">
        <v>124</v>
      </c>
      <c r="G17" s="10">
        <v>95</v>
      </c>
    </row>
    <row r="18" spans="2:7">
      <c r="B18" s="19">
        <v>16</v>
      </c>
      <c r="C18" s="19" t="s">
        <v>147</v>
      </c>
      <c r="D18" s="19" t="s">
        <v>114</v>
      </c>
      <c r="E18" s="19" t="s">
        <v>121</v>
      </c>
      <c r="F18" s="19" t="s">
        <v>123</v>
      </c>
      <c r="G18" s="19">
        <v>104</v>
      </c>
    </row>
    <row r="19" spans="2:7" hidden="1">
      <c r="B19" s="10">
        <v>17</v>
      </c>
      <c r="C19" s="10" t="s">
        <v>148</v>
      </c>
      <c r="D19" s="10" t="s">
        <v>114</v>
      </c>
      <c r="E19" s="10" t="s">
        <v>154</v>
      </c>
      <c r="F19" s="10" t="s">
        <v>122</v>
      </c>
      <c r="G19" s="10">
        <v>99</v>
      </c>
    </row>
    <row r="20" spans="2:7">
      <c r="B20" s="19">
        <v>18</v>
      </c>
      <c r="C20" s="19" t="s">
        <v>150</v>
      </c>
      <c r="D20" s="19" t="s">
        <v>115</v>
      </c>
      <c r="E20" s="19" t="s">
        <v>155</v>
      </c>
      <c r="F20" s="19" t="s">
        <v>128</v>
      </c>
      <c r="G20" s="19">
        <v>104</v>
      </c>
    </row>
    <row r="21" spans="2:7" hidden="1">
      <c r="B21" s="10">
        <v>19</v>
      </c>
      <c r="C21" s="10" t="s">
        <v>151</v>
      </c>
      <c r="D21" s="10"/>
      <c r="E21" s="10" t="s">
        <v>155</v>
      </c>
      <c r="F21" s="10" t="s">
        <v>127</v>
      </c>
      <c r="G21" s="10">
        <v>115</v>
      </c>
    </row>
    <row r="22" spans="2:7" hidden="1">
      <c r="B22" s="10">
        <v>20</v>
      </c>
      <c r="C22" s="10" t="s">
        <v>151</v>
      </c>
      <c r="D22" s="10" t="s">
        <v>130</v>
      </c>
      <c r="E22" s="10" t="s">
        <v>118</v>
      </c>
      <c r="F22" s="10" t="s">
        <v>127</v>
      </c>
      <c r="G22" s="10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140</v>
      </c>
    </row>
    <row r="3" spans="2:6">
      <c r="B3" t="s">
        <v>138</v>
      </c>
      <c r="C3" s="24" t="s">
        <v>27</v>
      </c>
      <c r="D3" s="25" t="s">
        <v>34</v>
      </c>
      <c r="E3" s="25" t="s">
        <v>32</v>
      </c>
      <c r="F3" s="26" t="s">
        <v>33</v>
      </c>
    </row>
    <row r="4" spans="2:6">
      <c r="B4" t="s">
        <v>138</v>
      </c>
      <c r="C4" s="13" t="s">
        <v>28</v>
      </c>
      <c r="D4" s="5">
        <v>33</v>
      </c>
      <c r="E4" s="5">
        <v>178</v>
      </c>
      <c r="F4" s="12">
        <v>75</v>
      </c>
    </row>
    <row r="5" spans="2:6">
      <c r="B5" t="s">
        <v>138</v>
      </c>
      <c r="C5" s="13" t="s">
        <v>29</v>
      </c>
      <c r="D5" s="5">
        <v>38</v>
      </c>
      <c r="E5" s="5">
        <v>155</v>
      </c>
      <c r="F5" s="12">
        <v>58</v>
      </c>
    </row>
    <row r="6" spans="2:6">
      <c r="B6" t="s">
        <v>138</v>
      </c>
      <c r="C6" s="13" t="s">
        <v>30</v>
      </c>
      <c r="D6" s="5">
        <v>45</v>
      </c>
      <c r="E6" s="5">
        <v>167</v>
      </c>
      <c r="F6" s="12">
        <v>55</v>
      </c>
    </row>
    <row r="7" spans="2:6">
      <c r="B7" t="s">
        <v>138</v>
      </c>
      <c r="C7" s="8" t="s">
        <v>31</v>
      </c>
      <c r="D7" s="18">
        <v>57</v>
      </c>
      <c r="E7" s="18">
        <v>160</v>
      </c>
      <c r="F7" s="14">
        <v>48</v>
      </c>
    </row>
    <row r="9" spans="2:6">
      <c r="B9" t="s">
        <v>139</v>
      </c>
      <c r="C9" s="15" t="s">
        <v>27</v>
      </c>
      <c r="D9" s="16" t="s">
        <v>34</v>
      </c>
      <c r="E9" s="16" t="s">
        <v>32</v>
      </c>
      <c r="F9" s="17" t="s">
        <v>33</v>
      </c>
    </row>
    <row r="10" spans="2:6" hidden="1">
      <c r="B10" t="s">
        <v>139</v>
      </c>
      <c r="C10" s="13" t="s">
        <v>134</v>
      </c>
      <c r="D10" s="5">
        <v>17</v>
      </c>
      <c r="E10" s="5">
        <v>160</v>
      </c>
      <c r="F10" s="12">
        <v>50</v>
      </c>
    </row>
    <row r="11" spans="2:6">
      <c r="B11" t="s">
        <v>139</v>
      </c>
      <c r="C11" s="21" t="s">
        <v>135</v>
      </c>
      <c r="D11" s="19">
        <v>16</v>
      </c>
      <c r="E11" s="19">
        <v>165</v>
      </c>
      <c r="F11" s="22">
        <v>45</v>
      </c>
    </row>
    <row r="12" spans="2:6">
      <c r="B12" t="s">
        <v>139</v>
      </c>
      <c r="C12" s="21" t="s">
        <v>136</v>
      </c>
      <c r="D12" s="19">
        <v>17</v>
      </c>
      <c r="E12" s="19">
        <v>155</v>
      </c>
      <c r="F12" s="22">
        <v>48</v>
      </c>
    </row>
    <row r="13" spans="2:6" hidden="1">
      <c r="B13" t="s">
        <v>139</v>
      </c>
      <c r="C13" s="8" t="s">
        <v>137</v>
      </c>
      <c r="D13" s="18">
        <v>15</v>
      </c>
      <c r="E13" s="18">
        <v>180</v>
      </c>
      <c r="F13" s="14">
        <v>80</v>
      </c>
    </row>
    <row r="15" spans="2:6">
      <c r="B15" t="s">
        <v>141</v>
      </c>
      <c r="C15" s="15" t="s">
        <v>27</v>
      </c>
      <c r="D15" s="16" t="s">
        <v>34</v>
      </c>
      <c r="E15" s="16" t="s">
        <v>32</v>
      </c>
      <c r="F15" s="17" t="s">
        <v>33</v>
      </c>
    </row>
    <row r="16" spans="2:6">
      <c r="B16" t="s">
        <v>141</v>
      </c>
      <c r="C16" s="13" t="s">
        <v>142</v>
      </c>
      <c r="D16" s="5">
        <v>70</v>
      </c>
      <c r="E16" s="5">
        <v>172</v>
      </c>
      <c r="F16" s="12">
        <v>55</v>
      </c>
    </row>
    <row r="17" spans="2:6">
      <c r="B17" t="s">
        <v>141</v>
      </c>
      <c r="C17" s="13" t="s">
        <v>143</v>
      </c>
      <c r="D17" s="5">
        <v>78</v>
      </c>
      <c r="E17" s="5">
        <v>165</v>
      </c>
      <c r="F17" s="12">
        <v>47</v>
      </c>
    </row>
    <row r="18" spans="2:6">
      <c r="B18" t="s">
        <v>141</v>
      </c>
      <c r="C18" s="13" t="s">
        <v>144</v>
      </c>
      <c r="D18" s="5">
        <v>83</v>
      </c>
      <c r="E18" s="5">
        <v>170</v>
      </c>
      <c r="F18" s="12">
        <v>43</v>
      </c>
    </row>
    <row r="19" spans="2:6" hidden="1">
      <c r="B19" t="s">
        <v>141</v>
      </c>
      <c r="C19" s="8" t="s">
        <v>145</v>
      </c>
      <c r="D19" s="18">
        <v>75</v>
      </c>
      <c r="E19" s="18">
        <v>158</v>
      </c>
      <c r="F19" s="14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157</v>
      </c>
    </row>
    <row r="4" spans="2:8">
      <c r="C4" s="77" t="s">
        <v>78</v>
      </c>
      <c r="D4" s="72"/>
    </row>
    <row r="5" spans="2:8">
      <c r="C5" s="10" t="s">
        <v>159</v>
      </c>
      <c r="D5" s="23">
        <v>46180</v>
      </c>
    </row>
    <row r="6" spans="2:8">
      <c r="C6" s="77" t="s">
        <v>158</v>
      </c>
      <c r="D6" s="72"/>
    </row>
    <row r="7" spans="2:8">
      <c r="C7" s="10"/>
      <c r="D7" s="10"/>
    </row>
    <row r="8" spans="2:8">
      <c r="C8" s="77" t="s">
        <v>80</v>
      </c>
      <c r="D8" s="72"/>
    </row>
    <row r="9" spans="2:8">
      <c r="C9" s="10"/>
      <c r="D9" s="10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52F-28BC-44D4-8287-BCFBC7120806}">
  <dimension ref="B2:AM48"/>
  <sheetViews>
    <sheetView showGridLines="0" workbookViewId="0">
      <selection activeCell="D4" sqref="D4"/>
    </sheetView>
  </sheetViews>
  <sheetFormatPr defaultColWidth="3.125" defaultRowHeight="18.75" outlineLevelRow="1" outlineLevelCol="1"/>
  <cols>
    <col min="4" max="4" width="3.125" customWidth="1"/>
    <col min="5" max="15" width="3.125" customWidth="1" outlineLevel="1"/>
    <col min="16" max="16" width="3.125" customWidth="1"/>
    <col min="17" max="27" width="3.125" customWidth="1" outlineLevel="1"/>
    <col min="29" max="39" width="3.125" customWidth="1" outlineLevel="1"/>
  </cols>
  <sheetData>
    <row r="2" spans="2:39">
      <c r="D2" s="28" t="s">
        <v>170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 t="s">
        <v>169</v>
      </c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8" t="s">
        <v>168</v>
      </c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2:39"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</v>
      </c>
      <c r="Q3">
        <v>2</v>
      </c>
      <c r="R3">
        <v>3</v>
      </c>
      <c r="S3">
        <v>4</v>
      </c>
      <c r="T3">
        <v>5</v>
      </c>
      <c r="U3">
        <v>6</v>
      </c>
      <c r="V3">
        <v>7</v>
      </c>
      <c r="W3">
        <v>8</v>
      </c>
      <c r="X3">
        <v>9</v>
      </c>
      <c r="Y3">
        <v>10</v>
      </c>
      <c r="Z3">
        <v>11</v>
      </c>
      <c r="AA3">
        <v>12</v>
      </c>
      <c r="AB3">
        <v>1</v>
      </c>
      <c r="AC3">
        <v>2</v>
      </c>
      <c r="AD3">
        <v>3</v>
      </c>
      <c r="AE3">
        <v>4</v>
      </c>
      <c r="AF3">
        <v>5</v>
      </c>
      <c r="AG3">
        <v>6</v>
      </c>
      <c r="AH3">
        <v>7</v>
      </c>
      <c r="AI3">
        <v>8</v>
      </c>
      <c r="AJ3">
        <v>9</v>
      </c>
      <c r="AK3">
        <v>10</v>
      </c>
      <c r="AL3">
        <v>11</v>
      </c>
      <c r="AM3">
        <v>12</v>
      </c>
    </row>
    <row r="4" spans="2:39">
      <c r="B4">
        <v>1</v>
      </c>
    </row>
    <row r="5" spans="2:39" outlineLevel="1">
      <c r="C5" t="s">
        <v>160</v>
      </c>
      <c r="D5" s="29"/>
      <c r="E5" s="29"/>
      <c r="F5" s="29"/>
      <c r="G5" s="29"/>
      <c r="H5" s="29"/>
      <c r="I5" s="29"/>
      <c r="J5" s="29"/>
      <c r="K5" s="29"/>
    </row>
    <row r="6" spans="2:39" outlineLevel="1">
      <c r="C6" t="s">
        <v>161</v>
      </c>
      <c r="L6" s="29"/>
      <c r="M6" s="29"/>
      <c r="N6" s="29"/>
      <c r="O6" s="29"/>
      <c r="P6" s="29"/>
      <c r="Q6" s="29"/>
      <c r="R6" s="29"/>
    </row>
    <row r="7" spans="2:39" outlineLevel="1">
      <c r="C7" t="s">
        <v>162</v>
      </c>
      <c r="S7" s="29"/>
      <c r="T7" s="29"/>
      <c r="U7" s="29"/>
      <c r="V7" s="29"/>
      <c r="W7" s="29"/>
      <c r="X7" s="29"/>
      <c r="Y7" s="29"/>
      <c r="Z7" s="29"/>
    </row>
    <row r="8" spans="2:39" outlineLevel="1">
      <c r="C8" t="s">
        <v>163</v>
      </c>
      <c r="AA8" s="29"/>
      <c r="AB8" s="29"/>
      <c r="AC8" s="29"/>
      <c r="AD8" s="29"/>
      <c r="AE8" s="29"/>
    </row>
    <row r="9" spans="2:39">
      <c r="B9">
        <v>2</v>
      </c>
    </row>
    <row r="10" spans="2:39" outlineLevel="1">
      <c r="C10" t="s">
        <v>160</v>
      </c>
      <c r="D10" s="29"/>
      <c r="E10" s="29"/>
      <c r="F10" s="29"/>
    </row>
    <row r="11" spans="2:39" outlineLevel="1">
      <c r="C11" t="s">
        <v>161</v>
      </c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2:39">
      <c r="B12">
        <v>3</v>
      </c>
    </row>
    <row r="13" spans="2:39" outlineLevel="1">
      <c r="C13" t="s">
        <v>160</v>
      </c>
      <c r="D13" s="29"/>
      <c r="L13" s="29"/>
      <c r="X13" s="29"/>
      <c r="Y13" s="29"/>
    </row>
    <row r="14" spans="2:39" outlineLevel="1">
      <c r="C14" t="s">
        <v>161</v>
      </c>
      <c r="E14" s="29"/>
      <c r="K14" s="29"/>
      <c r="M14" s="29"/>
      <c r="V14" s="29"/>
      <c r="W14" s="29"/>
    </row>
    <row r="15" spans="2:39" outlineLevel="1">
      <c r="C15" t="s">
        <v>162</v>
      </c>
      <c r="F15" s="29"/>
      <c r="J15" s="29"/>
      <c r="N15" s="29"/>
      <c r="T15" s="29"/>
      <c r="U15" s="29"/>
    </row>
    <row r="16" spans="2:39" outlineLevel="1">
      <c r="C16" t="s">
        <v>163</v>
      </c>
      <c r="G16" s="29"/>
      <c r="I16" s="29"/>
      <c r="O16" s="29"/>
      <c r="R16" s="29"/>
      <c r="S16" s="29"/>
    </row>
    <row r="17" spans="2:29" outlineLevel="1">
      <c r="C17" t="s">
        <v>164</v>
      </c>
      <c r="H17" s="29"/>
      <c r="P17" s="29"/>
      <c r="Q17" s="29"/>
    </row>
    <row r="18" spans="2:29">
      <c r="B18">
        <v>4</v>
      </c>
    </row>
    <row r="19" spans="2:29" outlineLevel="1">
      <c r="C19" t="s">
        <v>163</v>
      </c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</row>
    <row r="20" spans="2:29" outlineLevel="1">
      <c r="C20" t="s">
        <v>164</v>
      </c>
      <c r="T20" s="29"/>
      <c r="U20" s="29"/>
    </row>
    <row r="21" spans="2:29" outlineLevel="1">
      <c r="C21" t="s">
        <v>165</v>
      </c>
      <c r="W21" s="29"/>
      <c r="X21" s="29"/>
      <c r="Y21" s="29"/>
      <c r="Z21" s="29"/>
    </row>
    <row r="22" spans="2:29" outlineLevel="1">
      <c r="C22" t="s">
        <v>166</v>
      </c>
      <c r="AA22" s="29"/>
    </row>
    <row r="23" spans="2:29" outlineLevel="1">
      <c r="C23" t="s">
        <v>167</v>
      </c>
      <c r="AB23" s="29"/>
    </row>
    <row r="24" spans="2:29">
      <c r="B24">
        <v>5</v>
      </c>
    </row>
    <row r="25" spans="2:29" outlineLevel="1">
      <c r="C25" t="s">
        <v>164</v>
      </c>
      <c r="D25" s="29"/>
      <c r="E25" s="29"/>
      <c r="F25" s="29"/>
      <c r="J25" s="29"/>
      <c r="K25" s="29"/>
      <c r="L25" s="29"/>
      <c r="P25" s="29"/>
      <c r="Q25" s="29"/>
      <c r="S25" s="29"/>
      <c r="U25" s="29"/>
      <c r="W25" s="29"/>
      <c r="AA25" s="29"/>
      <c r="AB25" s="29"/>
      <c r="AC25" s="29"/>
    </row>
    <row r="26" spans="2:29" outlineLevel="1">
      <c r="C26" t="s">
        <v>166</v>
      </c>
      <c r="G26" s="29"/>
      <c r="H26" s="29"/>
      <c r="I26" s="29"/>
      <c r="M26" s="29"/>
      <c r="N26" s="29"/>
      <c r="O26" s="29"/>
    </row>
    <row r="27" spans="2:29">
      <c r="B27">
        <v>6</v>
      </c>
    </row>
    <row r="28" spans="2:29" outlineLevel="1">
      <c r="C28" t="s">
        <v>160</v>
      </c>
      <c r="G28" s="29"/>
      <c r="I28" s="29"/>
      <c r="J28" s="29"/>
    </row>
    <row r="29" spans="2:29" outlineLevel="1">
      <c r="C29" t="s">
        <v>161</v>
      </c>
      <c r="F29" s="29"/>
      <c r="H29" s="29"/>
      <c r="I29" s="29"/>
    </row>
    <row r="30" spans="2:29" outlineLevel="1">
      <c r="C30" t="s">
        <v>162</v>
      </c>
      <c r="D30" s="29"/>
      <c r="E30" s="29"/>
      <c r="F30" s="29"/>
    </row>
    <row r="31" spans="2:29" outlineLevel="1">
      <c r="C31" t="s">
        <v>163</v>
      </c>
      <c r="K31" s="29"/>
      <c r="L31" s="29"/>
      <c r="M31" s="29"/>
    </row>
    <row r="32" spans="2:29" outlineLevel="1">
      <c r="C32" t="s">
        <v>164</v>
      </c>
      <c r="M32" s="29"/>
      <c r="N32" s="29"/>
    </row>
    <row r="33" spans="2:38" outlineLevel="1">
      <c r="C33" t="s">
        <v>165</v>
      </c>
      <c r="O33" s="29"/>
      <c r="P33" s="29"/>
      <c r="Q33" s="29"/>
      <c r="X33" s="29"/>
      <c r="Y33" s="29"/>
    </row>
    <row r="34" spans="2:38" outlineLevel="1">
      <c r="C34" t="s">
        <v>166</v>
      </c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</row>
    <row r="35" spans="2:38" outlineLevel="1">
      <c r="C35" t="s">
        <v>167</v>
      </c>
      <c r="P35" s="29"/>
      <c r="Y35" s="29"/>
      <c r="Z35" s="29"/>
      <c r="AA35" s="29"/>
    </row>
    <row r="36" spans="2:38">
      <c r="B36">
        <v>7</v>
      </c>
    </row>
    <row r="37" spans="2:38" outlineLevel="1">
      <c r="C37" t="s">
        <v>162</v>
      </c>
      <c r="H37" s="29"/>
    </row>
    <row r="38" spans="2:38" outlineLevel="1">
      <c r="C38" t="s">
        <v>164</v>
      </c>
      <c r="J38" s="29"/>
      <c r="AJ38" s="29"/>
      <c r="AK38" s="29"/>
      <c r="AL38" s="29"/>
    </row>
    <row r="39" spans="2:38" outlineLevel="1">
      <c r="C39" t="s">
        <v>165</v>
      </c>
      <c r="L39" s="29"/>
      <c r="M39" s="29"/>
      <c r="S39" s="29"/>
      <c r="T39" s="29"/>
      <c r="U39" s="29"/>
      <c r="X39" s="29"/>
      <c r="Z39" s="29"/>
      <c r="AC39" s="29"/>
      <c r="AD39" s="29"/>
      <c r="AE39" s="29"/>
      <c r="AF39" s="29"/>
      <c r="AG39" s="29"/>
      <c r="AH39" s="29"/>
    </row>
    <row r="40" spans="2:38" outlineLevel="1">
      <c r="C40" t="s">
        <v>167</v>
      </c>
      <c r="O40" s="29"/>
      <c r="P40" s="29"/>
      <c r="Q40" s="29"/>
      <c r="R40" s="29"/>
      <c r="S40" s="29"/>
      <c r="T40" s="29"/>
    </row>
    <row r="41" spans="2:38">
      <c r="B41">
        <v>8</v>
      </c>
    </row>
    <row r="42" spans="2:38" outlineLevel="1">
      <c r="C42" t="s">
        <v>161</v>
      </c>
      <c r="E42" s="29"/>
      <c r="F42" s="29"/>
      <c r="Y42" s="29"/>
      <c r="Z42" s="29"/>
      <c r="AA42" s="29"/>
      <c r="AB42" s="29"/>
      <c r="AC42" s="29"/>
      <c r="AD42" s="29"/>
      <c r="AE42" s="29"/>
      <c r="AF42" s="29"/>
      <c r="AG42" s="29"/>
    </row>
    <row r="43" spans="2:38" outlineLevel="1">
      <c r="C43" t="s">
        <v>163</v>
      </c>
      <c r="I43" s="29"/>
      <c r="J43" s="29"/>
      <c r="K43" s="29"/>
      <c r="L43" s="29"/>
    </row>
    <row r="44" spans="2:38" outlineLevel="1">
      <c r="C44" t="s">
        <v>164</v>
      </c>
      <c r="Q44" s="29"/>
      <c r="S44" s="29"/>
      <c r="U44" s="29"/>
      <c r="W44" s="29"/>
    </row>
    <row r="45" spans="2:38">
      <c r="B45">
        <v>9</v>
      </c>
    </row>
    <row r="46" spans="2:38" outlineLevel="1">
      <c r="C46" t="s">
        <v>160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2:38" outlineLevel="1">
      <c r="C47" t="s">
        <v>163</v>
      </c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</row>
    <row r="48" spans="2:38" outlineLevel="1">
      <c r="C48" t="s">
        <v>167</v>
      </c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6207-9202-4D2C-8CD7-567D52F54562}">
  <dimension ref="A1"/>
  <sheetViews>
    <sheetView topLeftCell="A19" workbookViewId="0">
      <selection activeCell="K34" sqref="K34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B452-348F-4969-A297-6C204B3F0E7B}">
  <dimension ref="A1"/>
  <sheetViews>
    <sheetView showGridLines="0" workbookViewId="0"/>
  </sheetViews>
  <sheetFormatPr defaultRowHeight="18.75"/>
  <cols>
    <col min="1" max="16384" width="9" style="56"/>
  </cols>
  <sheetData/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20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27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罫線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グループ化</vt:lpstr>
      <vt:lpstr>画像</vt:lpstr>
      <vt:lpstr>Samples</vt:lpstr>
      <vt:lpstr>非表示シート</vt:lpstr>
      <vt:lpstr>グラフのみのシート</vt:lpstr>
      <vt:lpstr>名前!_C3</vt:lpstr>
      <vt:lpstr>Sequence!Print_Area</vt:lpstr>
      <vt:lpstr>テキストシート!Print_Area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2026-06-08T16:29:32Z</cp:lastPrinted>
  <dcterms:created xsi:type="dcterms:W3CDTF">2015-06-05T18:19:34Z</dcterms:created>
  <dcterms:modified xsi:type="dcterms:W3CDTF">2026-06-30T16:06:10Z</dcterms:modified>
</cp:coreProperties>
</file>